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comments/comment5.xml" ContentType="application/vnd.openxmlformats-officedocument.spreadsheetml.comments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comments/comment7.xml" ContentType="application/vnd.openxmlformats-officedocument.spreadsheetml.comments+xml"/>
  <Override PartName="/xl/worksheets/sheet13.xml" ContentType="application/vnd.openxmlformats-officedocument.spreadsheetml.worksheet+xml"/>
  <Override PartName="/xl/comments/comment8.xml" ContentType="application/vnd.openxmlformats-officedocument.spreadsheetml.comments+xml"/>
  <Override PartName="/xl/worksheets/sheet14.xml" ContentType="application/vnd.openxmlformats-officedocument.spreadsheetml.worksheet+xml"/>
  <Override PartName="/xl/comments/comment9.xml" ContentType="application/vnd.openxmlformats-officedocument.spreadsheetml.comments+xml"/>
  <Override PartName="/xl/worksheets/sheet15.xml" ContentType="application/vnd.openxmlformats-officedocument.spreadsheetml.worksheet+xml"/>
  <Override PartName="/xl/comments/comment10.xml" ContentType="application/vnd.openxmlformats-officedocument.spreadsheetml.comments+xml"/>
  <Override PartName="/xl/worksheets/sheet16.xml" ContentType="application/vnd.openxmlformats-officedocument.spreadsheetml.worksheet+xml"/>
  <Override PartName="/xl/comments/comment11.xml" ContentType="application/vnd.openxmlformats-officedocument.spreadsheetml.comments+xml"/>
  <Override PartName="/xl/worksheets/sheet17.xml" ContentType="application/vnd.openxmlformats-officedocument.spreadsheetml.worksheet+xml"/>
  <Override PartName="/xl/comments/comment12.xml" ContentType="application/vnd.openxmlformats-officedocument.spreadsheetml.comments+xml"/>
  <Override PartName="/xl/worksheets/sheet18.xml" ContentType="application/vnd.openxmlformats-officedocument.spreadsheetml.worksheet+xml"/>
  <Override PartName="/xl/comments/comment13.xml" ContentType="application/vnd.openxmlformats-officedocument.spreadsheetml.comments+xml"/>
  <Override PartName="/xl/worksheets/sheet19.xml" ContentType="application/vnd.openxmlformats-officedocument.spreadsheetml.worksheet+xml"/>
  <Override PartName="/xl/comments/comment14.xml" ContentType="application/vnd.openxmlformats-officedocument.spreadsheetml.comments+xml"/>
  <Override PartName="/xl/worksheets/sheet20.xml" ContentType="application/vnd.openxmlformats-officedocument.spreadsheetml.worksheet+xml"/>
  <Override PartName="/xl/comments/comment15.xml" ContentType="application/vnd.openxmlformats-officedocument.spreadsheetml.comments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пущения" sheetId="1" state="visible" r:id="rId1"/>
    <sheet name="Сценарии" sheetId="2" state="visible" r:id="rId2"/>
    <sheet name="Себестоимость" sheetId="3" state="visible" r:id="rId3"/>
    <sheet name="Старт" sheetId="4" state="visible" r:id="rId4"/>
    <sheet name="Модель_Б" sheetId="5" state="visible" r:id="rId5"/>
    <sheet name="Модель_П" sheetId="6" state="visible" r:id="rId6"/>
    <sheet name="Модель_О" sheetId="7" state="visible" r:id="rId7"/>
    <sheet name="Чувствительность" sheetId="8" state="visible" r:id="rId8"/>
    <sheet name="S_cpim" sheetId="9" state="hidden" r:id="rId9"/>
    <sheet name="S_cpip" sheetId="10" state="hidden" r:id="rId10"/>
    <sheet name="S_conv_newm" sheetId="11" state="hidden" r:id="rId11"/>
    <sheet name="S_conv_newp" sheetId="12" state="hidden" r:id="rId12"/>
    <sheet name="S_churnm" sheetId="13" state="hidden" r:id="rId13"/>
    <sheet name="S_churnp" sheetId="14" state="hidden" r:id="rId14"/>
    <sheet name="S_arppum" sheetId="15" state="hidden" r:id="rId15"/>
    <sheet name="S_arppup" sheetId="16" state="hidden" r:id="rId16"/>
    <sheet name="S_c_hm" sheetId="17" state="hidden" r:id="rId17"/>
    <sheet name="S_c_hp" sheetId="18" state="hidden" r:id="rId18"/>
    <sheet name="S_org0m" sheetId="19" state="hidden" r:id="rId19"/>
    <sheet name="S_org0p" sheetId="20" state="hidden" r:id="rId20"/>
    <sheet name="Доли" sheetId="21" state="visible" r:id="rId21"/>
    <sheet name="Риски" sheetId="22" state="visible" r:id="rId22"/>
    <sheet name="Источники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0.000"/>
    <numFmt numFmtId="165" formatCode="#,##0;(#,##0);&quot;-&quot;"/>
    <numFmt numFmtId="166" formatCode="0.0%;(0.0%);&quot;-&quot;"/>
    <numFmt numFmtId="167" formatCode="$0.0000;($0.0000);&quot;-&quot;"/>
    <numFmt numFmtId="168" formatCode="$#,##0.00;($#,##0.00);&quot;-&quot;"/>
    <numFmt numFmtId="169" formatCode="$#,##0;($#,##0);&quot;-&quot;"/>
    <numFmt numFmtId="170" formatCode="0.0&quot;x&quot;;(0.0&quot;x&quot;);&quot;-&quot;"/>
    <numFmt numFmtId="171" formatCode="#,##0&quot; ₽&quot;;(#,##0&quot; ₽&quot;);&quot;-&quot;"/>
    <numFmt numFmtId="172" formatCode="#,##0.0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2514E"/>
    </font>
    <font>
      <name val="Arial"/>
      <b val="1"/>
      <color rgb="00FFFFFF"/>
      <sz val="11"/>
    </font>
    <font>
      <name val="Arial"/>
      <b val="1"/>
    </font>
    <font>
      <name val="Arial"/>
      <color rgb="00000000"/>
    </font>
    <font>
      <name val="Arial"/>
      <color rgb="000000FF"/>
    </font>
    <font>
      <name val="Arial"/>
      <color rgb="0052514E"/>
      <sz val="9"/>
    </font>
    <font>
      <name val="Arial"/>
      <i val="1"/>
      <sz val="9"/>
    </font>
    <font>
      <name val="Arial"/>
      <color rgb="0000800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8EEF7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5" fillId="0" borderId="0" pivotButton="0" quotePrefix="0" xfId="0"/>
    <xf numFmtId="2" fontId="5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1" fontId="6" fillId="0" borderId="0" pivotButton="0" quotePrefix="0" xfId="0"/>
    <xf numFmtId="1" fontId="5" fillId="0" borderId="0" pivotButton="0" quotePrefix="0" xfId="0"/>
    <xf numFmtId="164" fontId="5" fillId="0" borderId="0" pivotButton="0" quotePrefix="0" xfId="0"/>
    <xf numFmtId="164" fontId="6" fillId="0" borderId="0" pivotButton="0" quotePrefix="0" xfId="0"/>
    <xf numFmtId="165" fontId="5" fillId="0" borderId="0" pivotButton="0" quotePrefix="0" xfId="0"/>
    <xf numFmtId="165" fontId="6" fillId="0" borderId="0" pivotButton="0" quotePrefix="0" xfId="0"/>
    <xf numFmtId="166" fontId="5" fillId="0" borderId="0" pivotButton="0" quotePrefix="0" xfId="0"/>
    <xf numFmtId="166" fontId="6" fillId="0" borderId="0" pivotButton="0" quotePrefix="0" xfId="0"/>
    <xf numFmtId="167" fontId="6" fillId="0" borderId="0" pivotButton="0" quotePrefix="0" xfId="0"/>
    <xf numFmtId="168" fontId="5" fillId="0" borderId="0" pivotButton="0" quotePrefix="0" xfId="0"/>
    <xf numFmtId="168" fontId="6" fillId="0" borderId="0" pivotButton="0" quotePrefix="0" xfId="0"/>
    <xf numFmtId="169" fontId="5" fillId="0" borderId="0" pivotButton="0" quotePrefix="0" xfId="0"/>
    <xf numFmtId="169" fontId="6" fillId="0" borderId="0" pivotButton="0" quotePrefix="0" xfId="0"/>
    <xf numFmtId="167" fontId="5" fillId="0" borderId="0" pivotButton="0" quotePrefix="0" xfId="0"/>
    <xf numFmtId="170" fontId="6" fillId="0" borderId="0" pivotButton="0" quotePrefix="0" xfId="0"/>
    <xf numFmtId="171" fontId="6" fillId="0" borderId="0" pivotButton="0" quotePrefix="0" xfId="0"/>
    <xf numFmtId="171" fontId="5" fillId="0" borderId="0" pivotButton="0" quotePrefix="0" xfId="0"/>
    <xf numFmtId="1" fontId="9" fillId="0" borderId="0" pivotButton="0" quotePrefix="0" xfId="0"/>
    <xf numFmtId="49" fontId="9" fillId="0" borderId="0" pivotButton="0" quotePrefix="0" xfId="0"/>
    <xf numFmtId="169" fontId="9" fillId="0" borderId="0" pivotButton="0" quotePrefix="0" xfId="0"/>
    <xf numFmtId="171" fontId="9" fillId="0" borderId="0" pivotButton="0" quotePrefix="0" xfId="0"/>
    <xf numFmtId="165" fontId="9" fillId="0" borderId="0" pivotButton="0" quotePrefix="0" xfId="0"/>
    <xf numFmtId="168" fontId="9" fillId="0" borderId="0" pivotButton="0" quotePrefix="0" xfId="0"/>
    <xf numFmtId="170" fontId="9" fillId="0" borderId="0" pivotButton="0" quotePrefix="0" xfId="0"/>
    <xf numFmtId="166" fontId="9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169" fontId="10" fillId="0" borderId="0" pivotButton="0" quotePrefix="0" xfId="0"/>
    <xf numFmtId="165" fontId="10" fillId="0" borderId="0" pivotButton="0" quotePrefix="0" xfId="0"/>
    <xf numFmtId="0" fontId="3" fillId="2" borderId="0" applyAlignment="1" pivotButton="0" quotePrefix="0" xfId="0">
      <alignment vertical="center" wrapText="1"/>
    </xf>
    <xf numFmtId="170" fontId="5" fillId="0" borderId="0" pivotButton="0" quotePrefix="0" xfId="0"/>
    <xf numFmtId="49" fontId="5" fillId="0" borderId="0" pivotButton="0" quotePrefix="0" xfId="0"/>
    <xf numFmtId="172" fontId="5" fillId="0" borderId="0" pivotButton="0" quotePrefix="0" xfId="0"/>
    <xf numFmtId="0" fontId="8" fillId="0" borderId="0" pivotButton="0" quotePrefix="0" xfId="0"/>
    <xf numFmtId="169" fontId="4" fillId="0" borderId="0" pivotButton="0" quotePrefix="0" xfId="0"/>
    <xf numFmtId="171" fontId="4" fillId="0" borderId="0" pivotButton="0" quotePrefix="0" xfId="0"/>
    <xf numFmtId="171" fontId="10" fillId="0" borderId="0" pivotButton="0" quotePrefix="0" xfId="0"/>
    <xf numFmtId="0" fontId="5" fillId="0" borderId="0" applyAlignment="1" pivotButton="0" quotePrefix="0" xfId="0">
      <alignment horizontal="center"/>
    </xf>
    <xf numFmtId="165" fontId="4" fillId="0" borderId="0" pivotButton="0" quotePrefix="0" xfId="0"/>
    <xf numFmtId="166" fontId="10" fillId="0" borderId="0" pivotButton="0" quotePrefix="0" xfId="0"/>
    <xf numFmtId="168" fontId="10" fillId="0" borderId="0" pivotButton="0" quotePrefix="0" xfId="0"/>
    <xf numFmtId="1" fontId="4" fillId="0" borderId="0" pivotButton="0" quotePrefix="0" xfId="0"/>
    <xf numFmtId="49" fontId="4" fillId="0" borderId="0" pivotButton="0" quotePrefix="0" xfId="0"/>
    <xf numFmtId="168" fontId="4" fillId="0" borderId="0" pivotButton="0" quotePrefix="0" xfId="0"/>
    <xf numFmtId="170" fontId="4" fillId="0" borderId="0" pivotButton="0" quotePrefix="0" xfId="0"/>
    <xf numFmtId="166" fontId="4" fillId="0" borderId="0" pivotButton="0" quotePrefix="0" xfId="0"/>
    <xf numFmtId="166" fontId="6" fillId="4" borderId="0" pivotButton="0" quotePrefix="0" xfId="0"/>
    <xf numFmtId="0" fontId="3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9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Касса на конец месяца по сценариям, $</a:t>
            </a:r>
          </a:p>
        </rich>
      </tx>
    </title>
    <plotArea>
      <lineChart>
        <grouping val="standard"/>
        <ser>
          <idx val="0"/>
          <order val="0"/>
          <tx>
            <strRef>
              <f>'Сценарии'!B37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'Сценарии'!$A$38:$A$73</f>
            </numRef>
          </cat>
          <val>
            <numRef>
              <f>'Сценарии'!$B$38:$B$73</f>
            </numRef>
          </val>
          <smooth val="0"/>
        </ser>
        <ser>
          <idx val="1"/>
          <order val="1"/>
          <tx>
            <strRef>
              <f>'Сценарии'!C37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'Сценарии'!$A$38:$A$73</f>
            </numRef>
          </cat>
          <val>
            <numRef>
              <f>'Сценарии'!$C$38:$C$73</f>
            </numRef>
          </val>
          <smooth val="0"/>
        </ser>
        <ser>
          <idx val="2"/>
          <order val="2"/>
          <tx>
            <strRef>
              <f>'Сценарии'!D37</f>
            </strRef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'Сценарии'!$A$38:$A$73</f>
            </numRef>
          </cat>
          <val>
            <numRef>
              <f>'Сценарии'!$D$38:$D$73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Платящие на конец месяца по сценариям</a:t>
            </a:r>
          </a:p>
        </rich>
      </tx>
    </title>
    <plotArea>
      <lineChart>
        <grouping val="standard"/>
        <ser>
          <idx val="0"/>
          <order val="0"/>
          <tx>
            <strRef>
              <f>'Сценарии'!B75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'Сценарии'!$A$76:$A$111</f>
            </numRef>
          </cat>
          <val>
            <numRef>
              <f>'Сценарии'!$B$76:$B$111</f>
            </numRef>
          </val>
        </ser>
        <ser>
          <idx val="1"/>
          <order val="1"/>
          <tx>
            <strRef>
              <f>'Сценарии'!C75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'Сценарии'!$A$76:$A$111</f>
            </numRef>
          </cat>
          <val>
            <numRef>
              <f>'Сценарии'!$C$76:$C$111</f>
            </numRef>
          </val>
        </ser>
        <ser>
          <idx val="2"/>
          <order val="2"/>
          <tx>
            <strRef>
              <f>'Сценарии'!D75</f>
            </strRef>
          </tx>
          <spPr>
            <a:ln w="22000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'Сценарии'!$A$76:$A$111</f>
            </numRef>
          </cat>
          <val>
            <numRef>
              <f>'Сценарии'!$D$76:$D$111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3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4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5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6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7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8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9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10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11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12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13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14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comments/comment15.xml><?xml version="1.0" encoding="utf-8"?>
<comments xmlns="http://schemas.openxmlformats.org/spreadsheetml/2006/main">
  <authors>
    <author>model</author>
  </authors>
  <commentList>
    <comment ref="B51" authorId="0" shapeId="0">
      <text>
        <t>Минимум за 36 месяцев (отрицательное — дефицит кассы)</t>
      </text>
    </comment>
    <comment ref="B55" authorId="0" shapeId="0">
      <text>
        <t>Минимум за 36 месяцев (отрицательное — дефицит кассы)</t>
      </text>
    </comment>
    <comment ref="B56" authorId="0" shapeId="0">
      <text>
        <t>Минимум за 36 месяцев (отрицательное — дефицит кассы)</t>
      </text>
    </comment>
    <comment ref="B57" authorId="0" shapeId="0">
      <text>
        <t>Минимум за 36 месяцев (отрицательное — дефицит кассы)</t>
      </text>
    </comment>
    <comment ref="B58" authorId="0" shapeId="0">
      <text>
        <t>Минимум за 36 месяцев (отрицательное — дефицит кассы)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22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3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6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20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9" customWidth="1" min="2" max="2"/>
    <col width="13" customWidth="1" min="3" max="3"/>
    <col width="13" customWidth="1" min="4" max="4"/>
    <col width="13" customWidth="1" min="5" max="5"/>
    <col width="80" customWidth="1" min="6" max="6"/>
  </cols>
  <sheetData>
    <row r="1">
      <c r="A1" s="1" t="inlineStr">
        <is>
          <t>Допущения финмодели QuipQuill — все входные данные (синие ячейки можно менять)</t>
        </is>
      </c>
    </row>
    <row r="2">
      <c r="A2" s="2" t="inlineStr">
        <is>
          <t>Синий — ввод, чёрный — формула, зелёный — ссылка на другой лист. Валюта модели — USD. Дата расчёта: 17.10.2026. Месяц 1 модели = ноябрь 2026.</t>
        </is>
      </c>
    </row>
    <row r="3"/>
    <row r="4">
      <c r="A4" s="3" t="inlineStr">
        <is>
          <t>Параметр</t>
        </is>
      </c>
      <c r="B4" s="3" t="inlineStr">
        <is>
          <t>Ед.</t>
        </is>
      </c>
      <c r="C4" s="3" t="inlineStr">
        <is>
          <t>Пессим.</t>
        </is>
      </c>
      <c r="D4" s="3" t="inlineStr">
        <is>
          <t>Базовый</t>
        </is>
      </c>
      <c r="E4" s="3" t="inlineStr">
        <is>
          <t>Оптим.</t>
        </is>
      </c>
      <c r="F4" s="3" t="inlineStr">
        <is>
          <t>Источник / обоснование</t>
        </is>
      </c>
    </row>
    <row r="5"/>
    <row r="6">
      <c r="A6" s="4" t="inlineStr">
        <is>
          <t>Общие</t>
        </is>
      </c>
      <c r="B6" s="5" t="n"/>
      <c r="C6" s="5" t="n"/>
      <c r="D6" s="5" t="n"/>
      <c r="E6" s="5" t="n"/>
      <c r="F6" s="5" t="n"/>
    </row>
    <row r="7">
      <c r="A7" s="6" t="inlineStr">
        <is>
          <t>Курс RUB за 1 USD</t>
        </is>
      </c>
      <c r="B7" s="6" t="inlineStr">
        <is>
          <t>₽</t>
        </is>
      </c>
      <c r="C7" s="7">
        <f>$D$7</f>
        <v/>
      </c>
      <c r="D7" s="8" t="n">
        <v>83</v>
      </c>
      <c r="E7" s="7">
        <f>$D$7</f>
        <v/>
      </c>
      <c r="F7" s="9" t="inlineStr">
        <is>
          <t>ЦБ РФ / рынок, окт. 2026 ≈ 83 (диапазон 2026: 71–86). Пересчитать на дату вложения</t>
        </is>
      </c>
    </row>
    <row r="8">
      <c r="A8" s="6" t="inlineStr">
        <is>
          <t>Курс GEL за 1 USD</t>
        </is>
      </c>
      <c r="B8" s="6" t="inlineStr">
        <is>
          <t>₾</t>
        </is>
      </c>
      <c r="C8" s="7">
        <f>$D$8</f>
        <v/>
      </c>
      <c r="D8" s="8" t="n">
        <v>2.65</v>
      </c>
      <c r="E8" s="7">
        <f>$D$8</f>
        <v/>
      </c>
      <c r="F8" s="9" t="inlineStr">
        <is>
          <t>НБГ, 2026 ≈ 2,62–2,70</t>
        </is>
      </c>
    </row>
    <row r="9">
      <c r="A9" s="6" t="inlineStr">
        <is>
          <t>Месяц выхода MVP в магазины</t>
        </is>
      </c>
      <c r="B9" s="6" t="inlineStr">
        <is>
          <t>мес.</t>
        </is>
      </c>
      <c r="C9" s="10" t="n">
        <v>6</v>
      </c>
      <c r="D9" s="10" t="n">
        <v>5</v>
      </c>
      <c r="E9" s="10" t="n">
        <v>4</v>
      </c>
      <c r="F9" s="9" t="inlineStr">
        <is>
          <t>Цель пользователя: 3–6 мес. Месяц 5 = март 2027</t>
        </is>
      </c>
    </row>
    <row r="10">
      <c r="A10" s="6" t="inlineStr">
        <is>
          <t>Месяц регистрации ООО</t>
        </is>
      </c>
      <c r="B10" s="6" t="inlineStr">
        <is>
          <t>мес.</t>
        </is>
      </c>
      <c r="C10" s="11">
        <f>$D$10</f>
        <v/>
      </c>
      <c r="D10" s="10" t="n">
        <v>2</v>
      </c>
      <c r="E10" s="11">
        <f>$D$10</f>
        <v/>
      </c>
      <c r="F10" s="9" t="inlineStr">
        <is>
          <t>Декабрь 2026: до подачи в магазины (D-U-N-S для Apple/Google)</t>
        </is>
      </c>
    </row>
    <row r="11"/>
    <row r="12">
      <c r="A12" s="4" t="inlineStr">
        <is>
          <t>Цены моделей OpenRouter, $ за 1 млн токенов</t>
        </is>
      </c>
      <c r="B12" s="5" t="n"/>
      <c r="C12" s="5" t="n"/>
      <c r="D12" s="5" t="n"/>
      <c r="E12" s="5" t="n"/>
      <c r="F12" s="5" t="n"/>
    </row>
    <row r="13">
      <c r="A13" s="6" t="inlineStr">
        <is>
          <t>Haiku 5.5 — вход</t>
        </is>
      </c>
      <c r="B13" s="6" t="inlineStr">
        <is>
          <t>$/1M</t>
        </is>
      </c>
      <c r="C13" s="12">
        <f>$D$13</f>
        <v/>
      </c>
      <c r="D13" s="13" t="n">
        <v>0.1</v>
      </c>
      <c r="E13" s="12">
        <f>$D$13</f>
        <v/>
      </c>
      <c r="F13" s="9" t="inlineStr">
        <is>
          <t>openrouter.ai/api/v1/models, 17.10.2026 (до 100K токенов контекста)</t>
        </is>
      </c>
    </row>
    <row r="14">
      <c r="A14" s="6" t="inlineStr">
        <is>
          <t>Haiku 5.5 — выход</t>
        </is>
      </c>
      <c r="B14" s="6" t="inlineStr">
        <is>
          <t>$/1M</t>
        </is>
      </c>
      <c r="C14" s="12">
        <f>$D$14</f>
        <v/>
      </c>
      <c r="D14" s="13" t="n">
        <v>0.5</v>
      </c>
      <c r="E14" s="12">
        <f>$D$14</f>
        <v/>
      </c>
      <c r="F14" s="9" t="inlineStr">
        <is>
          <t>там же</t>
        </is>
      </c>
    </row>
    <row r="15">
      <c r="A15" s="6" t="inlineStr">
        <is>
          <t>Haiku 5.5 — чтение кэша</t>
        </is>
      </c>
      <c r="B15" s="6" t="inlineStr">
        <is>
          <t>$/1M</t>
        </is>
      </c>
      <c r="C15" s="12">
        <f>$D$15</f>
        <v/>
      </c>
      <c r="D15" s="13" t="n">
        <v>0.01</v>
      </c>
      <c r="E15" s="12">
        <f>$D$15</f>
        <v/>
      </c>
      <c r="F15" s="9" t="inlineStr">
        <is>
          <t>там же</t>
        </is>
      </c>
    </row>
    <row r="16">
      <c r="A16" s="6" t="inlineStr">
        <is>
          <t>Haiku 5.5 — запись кэша</t>
        </is>
      </c>
      <c r="B16" s="6" t="inlineStr">
        <is>
          <t>$/1M</t>
        </is>
      </c>
      <c r="C16" s="12">
        <f>$D$16</f>
        <v/>
      </c>
      <c r="D16" s="13" t="n">
        <v>0.125</v>
      </c>
      <c r="E16" s="12">
        <f>$D$16</f>
        <v/>
      </c>
      <c r="F16" s="9" t="inlineStr">
        <is>
          <t>там же</t>
        </is>
      </c>
    </row>
    <row r="17">
      <c r="A17" s="6" t="inlineStr">
        <is>
          <t>Sonnet 5.5 — вход</t>
        </is>
      </c>
      <c r="B17" s="6" t="inlineStr">
        <is>
          <t>$/1M</t>
        </is>
      </c>
      <c r="C17" s="12">
        <f>$D$17</f>
        <v/>
      </c>
      <c r="D17" s="13" t="n">
        <v>2</v>
      </c>
      <c r="E17" s="12">
        <f>$D$17</f>
        <v/>
      </c>
      <c r="F17" s="9" t="inlineStr">
        <is>
          <t>там же</t>
        </is>
      </c>
    </row>
    <row r="18">
      <c r="A18" s="6" t="inlineStr">
        <is>
          <t>Sonnet 5.5 — выход</t>
        </is>
      </c>
      <c r="B18" s="6" t="inlineStr">
        <is>
          <t>$/1M</t>
        </is>
      </c>
      <c r="C18" s="12">
        <f>$D$18</f>
        <v/>
      </c>
      <c r="D18" s="13" t="n">
        <v>10</v>
      </c>
      <c r="E18" s="12">
        <f>$D$18</f>
        <v/>
      </c>
      <c r="F18" s="9" t="inlineStr">
        <is>
          <t>там же</t>
        </is>
      </c>
    </row>
    <row r="19">
      <c r="A19" s="6" t="inlineStr">
        <is>
          <t>Sonnet 5.5 — чтение кэша</t>
        </is>
      </c>
      <c r="B19" s="6" t="inlineStr">
        <is>
          <t>$/1M</t>
        </is>
      </c>
      <c r="C19" s="12">
        <f>$D$19</f>
        <v/>
      </c>
      <c r="D19" s="13" t="n">
        <v>0.1</v>
      </c>
      <c r="E19" s="12">
        <f>$D$19</f>
        <v/>
      </c>
      <c r="F19" s="9" t="inlineStr">
        <is>
          <t>там же</t>
        </is>
      </c>
    </row>
    <row r="20">
      <c r="A20" s="6" t="inlineStr">
        <is>
          <t>Sonnet 5.5 — запись кэша</t>
        </is>
      </c>
      <c r="B20" s="6" t="inlineStr">
        <is>
          <t>$/1M</t>
        </is>
      </c>
      <c r="C20" s="12">
        <f>$D$20</f>
        <v/>
      </c>
      <c r="D20" s="13" t="n">
        <v>2.5</v>
      </c>
      <c r="E20" s="12">
        <f>$D$20</f>
        <v/>
      </c>
      <c r="F20" s="9" t="inlineStr">
        <is>
          <t>там же</t>
        </is>
      </c>
    </row>
    <row r="21"/>
    <row r="22">
      <c r="A22" s="4" t="inlineStr">
        <is>
          <t>Профиль хода (из тестов 6.2i: 12 ходов игрока, 2 прогона)</t>
        </is>
      </c>
      <c r="B22" s="5" t="n"/>
      <c r="C22" s="5" t="n"/>
      <c r="D22" s="5" t="n"/>
      <c r="E22" s="5" t="n"/>
      <c r="F22" s="5" t="n"/>
    </row>
    <row r="23">
      <c r="A23" s="6" t="inlineStr">
        <is>
          <t>Некэшированный вход за ход</t>
        </is>
      </c>
      <c r="B23" s="6" t="inlineStr">
        <is>
          <t>ток.</t>
        </is>
      </c>
      <c r="C23" s="14">
        <f>$D$23</f>
        <v/>
      </c>
      <c r="D23" s="15" t="n">
        <v>9800</v>
      </c>
      <c r="E23" s="14">
        <f>$D$23</f>
        <v/>
      </c>
      <c r="F23" s="9" t="inlineStr">
        <is>
          <t>Среднее: 29,5K вход − 19,7K из кэша</t>
        </is>
      </c>
    </row>
    <row r="24">
      <c r="A24" s="6" t="inlineStr">
        <is>
          <t>Вход из кэша за ход</t>
        </is>
      </c>
      <c r="B24" s="6" t="inlineStr">
        <is>
          <t>ток.</t>
        </is>
      </c>
      <c r="C24" s="14">
        <f>$D$24</f>
        <v/>
      </c>
      <c r="D24" s="15" t="n">
        <v>19700</v>
      </c>
      <c r="E24" s="14">
        <f>$D$24</f>
        <v/>
      </c>
      <c r="F24" s="9" t="inlineStr">
        <is>
          <t>Среднее по 12 ходам</t>
        </is>
      </c>
    </row>
    <row r="25">
      <c r="A25" s="6" t="inlineStr">
        <is>
          <t>Выход за ход</t>
        </is>
      </c>
      <c r="B25" s="6" t="inlineStr">
        <is>
          <t>ток.</t>
        </is>
      </c>
      <c r="C25" s="14">
        <f>$D$25</f>
        <v/>
      </c>
      <c r="D25" s="15" t="n">
        <v>1310</v>
      </c>
      <c r="E25" s="14">
        <f>$D$25</f>
        <v/>
      </c>
      <c r="F25" s="9" t="inlineStr">
        <is>
          <t>Среднее по 12 ходам</t>
        </is>
      </c>
    </row>
    <row r="26">
      <c r="A26" s="6" t="inlineStr">
        <is>
          <t>Доля некэш. входа, идущая в запись кэша</t>
        </is>
      </c>
      <c r="B26" s="6" t="inlineStr">
        <is>
          <t>доля</t>
        </is>
      </c>
      <c r="C26" s="16">
        <f>$D$26</f>
        <v/>
      </c>
      <c r="D26" s="17" t="n">
        <v>0.15</v>
      </c>
      <c r="E26" s="16">
        <f>$D$26</f>
        <v/>
      </c>
      <c r="F26" s="9" t="inlineStr">
        <is>
          <t>Подбор: модель даёт $0,00187 при фактическом среднем $0,00186</t>
        </is>
      </c>
    </row>
    <row r="27">
      <c r="A27" s="6" t="inlineStr">
        <is>
          <t>Доля токенов хода у мастера (gm)</t>
        </is>
      </c>
      <c r="B27" s="6" t="inlineStr">
        <is>
          <t>доля</t>
        </is>
      </c>
      <c r="C27" s="16">
        <f>$D$27</f>
        <v/>
      </c>
      <c r="D27" s="17" t="n">
        <v>0.65</v>
      </c>
      <c r="E27" s="16">
        <f>$D$27</f>
        <v/>
      </c>
      <c r="F27" s="9" t="inlineStr">
        <is>
          <t>Оценка: gm — 3 из ~6 вызовов, но самые длинные промпты</t>
        </is>
      </c>
    </row>
    <row r="28">
      <c r="A28" s="6" t="inlineStr">
        <is>
          <t>Множитель длинных сессий (рост контекста, повторы)</t>
        </is>
      </c>
      <c r="B28" s="6" t="inlineStr">
        <is>
          <t>x</t>
        </is>
      </c>
      <c r="C28" s="8" t="n">
        <v>1.5</v>
      </c>
      <c r="D28" s="8" t="n">
        <v>1.3</v>
      </c>
      <c r="E28" s="8" t="n">
        <v>1.15</v>
      </c>
      <c r="F28" s="9" t="inlineStr">
        <is>
          <t>Ходы в тестах дорожали с $0,0011 до $0,0028 за 7 ходов; запас на сводки и повторы</t>
        </is>
      </c>
    </row>
    <row r="29">
      <c r="A29" s="6" t="inlineStr">
        <is>
          <t>Модерация на ход (Llama Guard 4 / перехват кризиса)</t>
        </is>
      </c>
      <c r="B29" s="6" t="inlineStr">
        <is>
          <t>$</t>
        </is>
      </c>
      <c r="C29" s="18" t="n">
        <v>0.0003</v>
      </c>
      <c r="D29" s="18" t="n">
        <v>0.0002</v>
      </c>
      <c r="E29" s="18" t="n">
        <v>0.0001</v>
      </c>
      <c r="F29" s="9" t="inlineStr">
        <is>
          <t>Llama Guard 4: $0,18/1M; ~1–1,5K токенов на проверку ввода и выборочно ответа</t>
        </is>
      </c>
    </row>
    <row r="30"/>
    <row r="31">
      <c r="A31" s="4" t="inlineStr">
        <is>
          <t>Тарифы (цены — в магазинах, без налога с продаж США)</t>
        </is>
      </c>
      <c r="B31" s="5" t="n"/>
      <c r="C31" s="5" t="n"/>
      <c r="D31" s="5" t="n"/>
      <c r="E31" s="5" t="n"/>
      <c r="F31" s="5" t="n"/>
    </row>
    <row r="32">
      <c r="A32" s="6" t="inlineStr">
        <is>
          <t>Free: ходов в неделю</t>
        </is>
      </c>
      <c r="B32" s="6" t="inlineStr">
        <is>
          <t>ходов</t>
        </is>
      </c>
      <c r="C32" s="14">
        <f>$D$32</f>
        <v/>
      </c>
      <c r="D32" s="15" t="n">
        <v>30</v>
      </c>
      <c r="E32" s="14">
        <f>$D$32</f>
        <v/>
      </c>
      <c r="F32" s="9" t="inlineStr">
        <is>
          <t>≈ одна сессия в неделю; дешёвая воронка</t>
        </is>
      </c>
    </row>
    <row r="33">
      <c r="A33" s="6" t="inlineStr">
        <is>
          <t>Комфорт: ходов за сессию</t>
        </is>
      </c>
      <c r="B33" s="6" t="inlineStr">
        <is>
          <t>ходов</t>
        </is>
      </c>
      <c r="C33" s="14">
        <f>$D$33</f>
        <v/>
      </c>
      <c r="D33" s="15" t="n">
        <v>45</v>
      </c>
      <c r="E33" s="14">
        <f>$D$33</f>
        <v/>
      </c>
      <c r="F33" s="9" t="inlineStr">
        <is>
          <t>~45–60 мин игры, 1 ход ≈ 1–1,3 мин с чтением</t>
        </is>
      </c>
    </row>
    <row r="34">
      <c r="A34" s="6" t="inlineStr">
        <is>
          <t>Комфорт: сессий в неделю</t>
        </is>
      </c>
      <c r="B34" s="6" t="inlineStr">
        <is>
          <t>сессий</t>
        </is>
      </c>
      <c r="C34" s="14">
        <f>$D$34</f>
        <v/>
      </c>
      <c r="D34" s="15" t="n">
        <v>6</v>
      </c>
      <c r="E34" s="14">
        <f>$D$34</f>
        <v/>
      </c>
      <c r="F34" s="9" t="inlineStr">
        <is>
          <t>Активный игрок: почти ежедневно</t>
        </is>
      </c>
    </row>
    <row r="35">
      <c r="A35" s="6" t="inlineStr">
        <is>
          <t>Teen 13–17 (строгий режим): цена</t>
        </is>
      </c>
      <c r="B35" s="6" t="inlineStr">
        <is>
          <t>$/мес</t>
        </is>
      </c>
      <c r="C35" s="19">
        <f>$D$35</f>
        <v/>
      </c>
      <c r="D35" s="20" t="n">
        <v>4.99</v>
      </c>
      <c r="E35" s="19">
        <f>$D$35</f>
        <v/>
      </c>
      <c r="F35" s="9" t="inlineStr">
        <is>
          <t>Дешёвый тариф для школьников (идея пользователя)</t>
        </is>
      </c>
    </row>
    <row r="36">
      <c r="A36" s="6" t="inlineStr">
        <is>
          <t>Teen: ходов в месяц</t>
        </is>
      </c>
      <c r="B36" s="6" t="inlineStr">
        <is>
          <t>ходов</t>
        </is>
      </c>
      <c r="C36" s="14">
        <f>$D$36</f>
        <v/>
      </c>
      <c r="D36" s="15" t="n">
        <v>600</v>
      </c>
      <c r="E36" s="14">
        <f>$D$36</f>
        <v/>
      </c>
      <c r="F36" s="9" t="inlineStr">
        <is>
          <t>½ комфортного объёма</t>
        </is>
      </c>
    </row>
    <row r="37">
      <c r="A37" s="6" t="inlineStr">
        <is>
          <t>Standard: цена</t>
        </is>
      </c>
      <c r="B37" s="6" t="inlineStr">
        <is>
          <t>$/мес</t>
        </is>
      </c>
      <c r="C37" s="19">
        <f>$D$37</f>
        <v/>
      </c>
      <c r="D37" s="20" t="n">
        <v>9.99</v>
      </c>
      <c r="E37" s="19">
        <f>$D$37</f>
        <v/>
      </c>
      <c r="F37" s="9" t="inlineStr">
        <is>
          <t>Рынок: c.ai+ $9,99; AI Dungeon $9,99; NovelAI $10</t>
        </is>
      </c>
    </row>
    <row r="38">
      <c r="A38" s="6" t="inlineStr">
        <is>
          <t>Standard: ходов в месяц</t>
        </is>
      </c>
      <c r="B38" s="6" t="inlineStr">
        <is>
          <t>ходов</t>
        </is>
      </c>
      <c r="C38" s="14">
        <f>$D$38</f>
        <v/>
      </c>
      <c r="D38" s="15" t="n">
        <v>1200</v>
      </c>
      <c r="E38" s="14">
        <f>$D$38</f>
        <v/>
      </c>
      <c r="F38" s="9" t="inlineStr">
        <is>
          <t>Комфортный объём (см. «Себестоимость»)</t>
        </is>
      </c>
    </row>
    <row r="39">
      <c r="A39" s="6" t="inlineStr">
        <is>
          <t>Premium (мастер на Sonnet): цена</t>
        </is>
      </c>
      <c r="B39" s="6" t="inlineStr">
        <is>
          <t>$/мес</t>
        </is>
      </c>
      <c r="C39" s="19">
        <f>$D$39</f>
        <v/>
      </c>
      <c r="D39" s="20" t="n">
        <v>19.99</v>
      </c>
      <c r="E39" s="19">
        <f>$D$39</f>
        <v/>
      </c>
      <c r="F39" s="9" t="inlineStr">
        <is>
          <t>Рынок: NovelAI Opus $25; Friends &amp; Fables $19,95–39,95</t>
        </is>
      </c>
    </row>
    <row r="40">
      <c r="A40" s="6" t="inlineStr">
        <is>
          <t>Premium: ходов в месяц, всего</t>
        </is>
      </c>
      <c r="B40" s="6" t="inlineStr">
        <is>
          <t>ходов</t>
        </is>
      </c>
      <c r="C40" s="14">
        <f>$D$40</f>
        <v/>
      </c>
      <c r="D40" s="15" t="n">
        <v>1200</v>
      </c>
      <c r="E40" s="14">
        <f>$D$40</f>
        <v/>
      </c>
      <c r="F40" s="9" t="inlineStr">
        <is>
          <t>Комфортный объём</t>
        </is>
      </c>
    </row>
    <row r="41">
      <c r="A41" s="6" t="inlineStr">
        <is>
          <t>Premium: из них ходов на Sonnet</t>
        </is>
      </c>
      <c r="B41" s="6" t="inlineStr">
        <is>
          <t>ходов</t>
        </is>
      </c>
      <c r="C41" s="14">
        <f>$D$41</f>
        <v/>
      </c>
      <c r="D41" s="15" t="n">
        <v>300</v>
      </c>
      <c r="E41" s="14">
        <f>$D$41</f>
        <v/>
      </c>
      <c r="F41" s="9" t="inlineStr">
        <is>
          <t>Остальные — на Haiku</t>
        </is>
      </c>
    </row>
    <row r="42">
      <c r="A42" s="6" t="inlineStr">
        <is>
          <t>Legend (10 000 ходов): цена</t>
        </is>
      </c>
      <c r="B42" s="6" t="inlineStr">
        <is>
          <t>$/мес</t>
        </is>
      </c>
      <c r="C42" s="19">
        <f>$D$42</f>
        <v/>
      </c>
      <c r="D42" s="20" t="n">
        <v>39.99</v>
      </c>
      <c r="E42" s="19">
        <f>$D$42</f>
        <v/>
      </c>
      <c r="F42" s="9" t="inlineStr">
        <is>
          <t>Для энтузиастов; см. расчёт маржи</t>
        </is>
      </c>
    </row>
    <row r="43">
      <c r="A43" s="6" t="inlineStr">
        <is>
          <t>Legend: ходов в месяц</t>
        </is>
      </c>
      <c r="B43" s="6" t="inlineStr">
        <is>
          <t>ходов</t>
        </is>
      </c>
      <c r="C43" s="14">
        <f>$D$43</f>
        <v/>
      </c>
      <c r="D43" s="15" t="n">
        <v>10000</v>
      </c>
      <c r="E43" s="14">
        <f>$D$43</f>
        <v/>
      </c>
      <c r="F43" s="9" t="inlineStr">
        <is>
          <t>Запрошенный объём</t>
        </is>
      </c>
    </row>
    <row r="44">
      <c r="A44" s="6" t="inlineStr">
        <is>
          <t>Доля платящих: Teen</t>
        </is>
      </c>
      <c r="B44" s="6" t="inlineStr">
        <is>
          <t>доля</t>
        </is>
      </c>
      <c r="C44" s="16">
        <f>$D$44</f>
        <v/>
      </c>
      <c r="D44" s="17" t="n">
        <v>0.15</v>
      </c>
      <c r="E44" s="16">
        <f>$D$44</f>
        <v/>
      </c>
      <c r="F44" s="9" t="inlineStr">
        <is>
          <t>Оценка</t>
        </is>
      </c>
    </row>
    <row r="45">
      <c r="A45" s="6" t="inlineStr">
        <is>
          <t>Доля платящих: Standard</t>
        </is>
      </c>
      <c r="B45" s="6" t="inlineStr">
        <is>
          <t>доля</t>
        </is>
      </c>
      <c r="C45" s="16">
        <f>$D$45</f>
        <v/>
      </c>
      <c r="D45" s="17" t="n">
        <v>0.6</v>
      </c>
      <c r="E45" s="16">
        <f>$D$45</f>
        <v/>
      </c>
      <c r="F45" s="9" t="inlineStr">
        <is>
          <t>Оценка</t>
        </is>
      </c>
    </row>
    <row r="46">
      <c r="A46" s="6" t="inlineStr">
        <is>
          <t>Доля платящих: Premium</t>
        </is>
      </c>
      <c r="B46" s="6" t="inlineStr">
        <is>
          <t>доля</t>
        </is>
      </c>
      <c r="C46" s="16">
        <f>$D$46</f>
        <v/>
      </c>
      <c r="D46" s="17" t="n">
        <v>0.2</v>
      </c>
      <c r="E46" s="16">
        <f>$D$46</f>
        <v/>
      </c>
      <c r="F46" s="9" t="inlineStr">
        <is>
          <t>Оценка</t>
        </is>
      </c>
    </row>
    <row r="47">
      <c r="A47" s="6" t="inlineStr">
        <is>
          <t>Доля платящих: Legend</t>
        </is>
      </c>
      <c r="B47" s="6" t="inlineStr">
        <is>
          <t>доля</t>
        </is>
      </c>
      <c r="C47" s="16">
        <f>$D$47</f>
        <v/>
      </c>
      <c r="D47" s="17" t="n">
        <v>0.05</v>
      </c>
      <c r="E47" s="16">
        <f>$D$47</f>
        <v/>
      </c>
      <c r="F47" s="9" t="inlineStr">
        <is>
          <t>Оценка</t>
        </is>
      </c>
    </row>
    <row r="48">
      <c r="A48" s="6" t="inlineStr">
        <is>
          <t>Средняя выборка лимита платящими</t>
        </is>
      </c>
      <c r="B48" s="6" t="inlineStr">
        <is>
          <t>доля</t>
        </is>
      </c>
      <c r="C48" s="17" t="n">
        <v>0.55</v>
      </c>
      <c r="D48" s="17" t="n">
        <v>0.45</v>
      </c>
      <c r="E48" s="17" t="n">
        <v>0.4</v>
      </c>
      <c r="F48" s="9" t="inlineStr">
        <is>
          <t>Типично 30–50% у подписок с лимитом; пессимизм — выше</t>
        </is>
      </c>
    </row>
    <row r="49">
      <c r="A49" s="6" t="inlineStr">
        <is>
          <t>Ходов в месяц на активного free</t>
        </is>
      </c>
      <c r="B49" s="6" t="inlineStr">
        <is>
          <t>ходов</t>
        </is>
      </c>
      <c r="C49" s="15" t="n">
        <v>75</v>
      </c>
      <c r="D49" s="15" t="n">
        <v>60</v>
      </c>
      <c r="E49" s="15" t="n">
        <v>50</v>
      </c>
      <c r="F49" s="9" t="inlineStr">
        <is>
          <t>При лимите 30 в неделю (макс. ~130)</t>
        </is>
      </c>
    </row>
    <row r="50"/>
    <row r="51">
      <c r="A51" s="4" t="inlineStr">
        <is>
          <t>Каналы оплаты и налоги с продаж</t>
        </is>
      </c>
      <c r="B51" s="5" t="n"/>
      <c r="C51" s="5" t="n"/>
      <c r="D51" s="5" t="n"/>
      <c r="E51" s="5" t="n"/>
      <c r="F51" s="5" t="n"/>
    </row>
    <row r="52">
      <c r="A52" s="6" t="inlineStr">
        <is>
          <t>Комиссия App Store / Google Play на подписки</t>
        </is>
      </c>
      <c r="B52" s="6" t="inlineStr">
        <is>
          <t>доля</t>
        </is>
      </c>
      <c r="C52" s="16">
        <f>$D$52</f>
        <v/>
      </c>
      <c r="D52" s="17" t="n">
        <v>0.15</v>
      </c>
      <c r="E52" s="16">
        <f>$D$52</f>
        <v/>
      </c>
      <c r="F52" s="9" t="inlineStr">
        <is>
          <t>Apple Small Business Program 15%; Google — 15% на подписки (10% с 30.06.2026 + сбор за биллинг)</t>
        </is>
      </c>
    </row>
    <row r="53">
      <c r="A53" s="6" t="inlineStr">
        <is>
          <t>Доля оплат через веб (внешняя ссылка в США, Paddle)</t>
        </is>
      </c>
      <c r="B53" s="6" t="inlineStr">
        <is>
          <t>доля</t>
        </is>
      </c>
      <c r="C53" s="17" t="n">
        <v>0.15</v>
      </c>
      <c r="D53" s="17" t="n">
        <v>0.3</v>
      </c>
      <c r="E53" s="17" t="n">
        <v>0.4</v>
      </c>
      <c r="F53" s="9" t="inlineStr">
        <is>
          <t>США: после Epic v. Apple 0% комиссии Apple за внешние ссылки (дело в Верховном суде)</t>
        </is>
      </c>
    </row>
    <row r="54">
      <c r="A54" s="6" t="inlineStr">
        <is>
          <t>Paddle: процент</t>
        </is>
      </c>
      <c r="B54" s="6" t="inlineStr">
        <is>
          <t>доля</t>
        </is>
      </c>
      <c r="C54" s="16">
        <f>$D$54</f>
        <v/>
      </c>
      <c r="D54" s="17" t="n">
        <v>0.05</v>
      </c>
      <c r="E54" s="16">
        <f>$D$54</f>
        <v/>
      </c>
      <c r="F54" s="9" t="inlineStr">
        <is>
          <t>Paddle 5% + $0,50, Merchant of Record — платит НДС/sales tax</t>
        </is>
      </c>
    </row>
    <row r="55">
      <c r="A55" s="6" t="inlineStr">
        <is>
          <t>Paddle: фикс. за транзакцию</t>
        </is>
      </c>
      <c r="B55" s="6" t="inlineStr">
        <is>
          <t>$</t>
        </is>
      </c>
      <c r="C55" s="19">
        <f>$D$55</f>
        <v/>
      </c>
      <c r="D55" s="20" t="n">
        <v>0.5</v>
      </c>
      <c r="E55" s="19">
        <f>$D$55</f>
        <v/>
      </c>
      <c r="F55" s="9" t="inlineStr">
        <is>
          <t>там же</t>
        </is>
      </c>
    </row>
    <row r="56">
      <c r="A56" s="6" t="inlineStr">
        <is>
          <t>НДС ЕС/Канады, включённый в цену (средневзвеш.)</t>
        </is>
      </c>
      <c r="B56" s="6" t="inlineStr">
        <is>
          <t>доля</t>
        </is>
      </c>
      <c r="C56" s="17" t="n">
        <v>0.06</v>
      </c>
      <c r="D56" s="17" t="n">
        <v>0.05</v>
      </c>
      <c r="E56" s="17" t="n">
        <v>0.04</v>
      </c>
      <c r="F56" s="9" t="inlineStr">
        <is>
          <t>≈30% выручки из ЕС × ~20% НДС; в США цена без налога</t>
        </is>
      </c>
    </row>
    <row r="57">
      <c r="A57" s="6" t="inlineStr">
        <is>
          <t>Налог на прибыль (база — Virtual Zone 0%)</t>
        </is>
      </c>
      <c r="B57" s="6" t="inlineStr">
        <is>
          <t>доля</t>
        </is>
      </c>
      <c r="C57" s="17" t="n">
        <v>0.15</v>
      </c>
      <c r="D57" s="17" t="n">
        <v>0</v>
      </c>
      <c r="E57" s="17" t="n">
        <v>0</v>
      </c>
      <c r="F57" s="9" t="inlineStr">
        <is>
          <t>VZ: 0% на IT-доход от нерезидентов; пессимизм — без VZ, 15% «эстонской» модели</t>
        </is>
      </c>
    </row>
    <row r="58"/>
    <row r="59">
      <c r="A59" s="4" t="inlineStr">
        <is>
          <t>Воронка и удержание</t>
        </is>
      </c>
      <c r="B59" s="5" t="n"/>
      <c r="C59" s="5" t="n"/>
      <c r="D59" s="5" t="n"/>
      <c r="E59" s="5" t="n"/>
      <c r="F59" s="5" t="n"/>
    </row>
    <row r="60">
      <c r="A60" s="6" t="inlineStr">
        <is>
          <t>CPI (стоимость установки, смешанная iOS/Android, США/ЕС/Канада)</t>
        </is>
      </c>
      <c r="B60" s="6" t="inlineStr">
        <is>
          <t>$</t>
        </is>
      </c>
      <c r="C60" s="20" t="n">
        <v>4.5</v>
      </c>
      <c r="D60" s="20" t="n">
        <v>3</v>
      </c>
      <c r="E60" s="20" t="n">
        <v>2</v>
      </c>
      <c r="F60" s="9" t="inlineStr">
        <is>
          <t>Бенчмарки 2026: iOS $5,8, Android $1,9; TikTok $1–4,5</t>
        </is>
      </c>
    </row>
    <row r="61">
      <c r="A61" s="6" t="inlineStr">
        <is>
          <t>Органические установки в месяц выхода</t>
        </is>
      </c>
      <c r="B61" s="6" t="inlineStr">
        <is>
          <t>уст.</t>
        </is>
      </c>
      <c r="C61" s="15" t="n">
        <v>600</v>
      </c>
      <c r="D61" s="15" t="n">
        <v>1200</v>
      </c>
      <c r="E61" s="15" t="n">
        <v>2000</v>
      </c>
      <c r="F61" s="9" t="inlineStr">
        <is>
          <t>Лист ожидания с прототипа + контент в TikTok/Reddit/Discord</t>
        </is>
      </c>
    </row>
    <row r="62">
      <c r="A62" s="6" t="inlineStr">
        <is>
          <t>Рост органики в месяц</t>
        </is>
      </c>
      <c r="B62" s="6" t="inlineStr">
        <is>
          <t>доля</t>
        </is>
      </c>
      <c r="C62" s="17" t="n">
        <v>0.04</v>
      </c>
      <c r="D62" s="17" t="n">
        <v>0.08</v>
      </c>
      <c r="E62" s="17" t="n">
        <v>0.1</v>
      </c>
      <c r="F62" s="9" t="inlineStr">
        <is>
          <t>Контент-маркетинг, ASO, сарафан</t>
        </is>
      </c>
    </row>
    <row r="63">
      <c r="A63" s="6" t="inlineStr">
        <is>
          <t>Потолок органики</t>
        </is>
      </c>
      <c r="B63" s="6" t="inlineStr">
        <is>
          <t>уст./мес</t>
        </is>
      </c>
      <c r="C63" s="15" t="n">
        <v>8000</v>
      </c>
      <c r="D63" s="15" t="n">
        <v>20000</v>
      </c>
      <c r="E63" s="15" t="n">
        <v>30000</v>
      </c>
      <c r="F63" s="9" t="inlineStr">
        <is>
          <t>Ограничение насыщения ниши</t>
        </is>
      </c>
    </row>
    <row r="64">
      <c r="A64" s="6" t="inlineStr">
        <is>
          <t>Вирусность (доп. установок на 1 установку)</t>
        </is>
      </c>
      <c r="B64" s="6" t="inlineStr">
        <is>
          <t>x</t>
        </is>
      </c>
      <c r="C64" s="8" t="n">
        <v>0.05</v>
      </c>
      <c r="D64" s="8" t="n">
        <v>0.15</v>
      </c>
      <c r="E64" s="8" t="n">
        <v>0.25</v>
      </c>
      <c r="F64" s="9" t="inlineStr">
        <is>
          <t>Шеринг сцен, кооператив позже</t>
        </is>
      </c>
    </row>
    <row r="65">
      <c r="A65" s="6" t="inlineStr">
        <is>
          <t>Активация (сыграл ≥1 сессию)</t>
        </is>
      </c>
      <c r="B65" s="6" t="inlineStr">
        <is>
          <t>доля</t>
        </is>
      </c>
      <c r="C65" s="17" t="n">
        <v>0.5</v>
      </c>
      <c r="D65" s="17" t="n">
        <v>0.6</v>
      </c>
      <c r="E65" s="17" t="n">
        <v>0.7</v>
      </c>
      <c r="F65" s="9" t="inlineStr">
        <is>
          <t>Онбординг: персонаж + первая сцена</t>
        </is>
      </c>
    </row>
    <row r="66">
      <c r="A66" s="6" t="inlineStr">
        <is>
          <t>Удержание активных free месяц к месяцу</t>
        </is>
      </c>
      <c r="B66" s="6" t="inlineStr">
        <is>
          <t>доля</t>
        </is>
      </c>
      <c r="C66" s="17" t="n">
        <v>0.3</v>
      </c>
      <c r="D66" s="17" t="n">
        <v>0.4</v>
      </c>
      <c r="E66" s="17" t="n">
        <v>0.5</v>
      </c>
      <c r="F66" s="9" t="inlineStr">
        <is>
          <t>Развлекательные приложения: D30 5–10%; активное ядро держится дольше</t>
        </is>
      </c>
    </row>
    <row r="67">
      <c r="A67" s="6" t="inlineStr">
        <is>
          <t>Конверсия активированного в платящего (1-й мес.)</t>
        </is>
      </c>
      <c r="B67" s="6" t="inlineStr">
        <is>
          <t>доля</t>
        </is>
      </c>
      <c r="C67" s="17" t="n">
        <v>0.02</v>
      </c>
      <c r="D67" s="17" t="n">
        <v>0.035</v>
      </c>
      <c r="E67" s="17" t="n">
        <v>0.05</v>
      </c>
      <c r="F67" s="9" t="inlineStr">
        <is>
          <t>RevenueCat 2026: freemium download→paid 2,1% (D35), игры 1,3%; ИИ-RP монетизируются лучше</t>
        </is>
      </c>
    </row>
    <row r="68">
      <c r="A68" s="6" t="inlineStr">
        <is>
          <t>Ежемесячная конверсия базы free</t>
        </is>
      </c>
      <c r="B68" s="6" t="inlineStr">
        <is>
          <t>доля</t>
        </is>
      </c>
      <c r="C68" s="17" t="n">
        <v>0.002</v>
      </c>
      <c r="D68" s="17" t="n">
        <v>0.004</v>
      </c>
      <c r="E68" s="17" t="n">
        <v>0.006</v>
      </c>
      <c r="F68" s="9" t="inlineStr">
        <is>
          <t>Догоняющие покупки (лимит кончился)</t>
        </is>
      </c>
    </row>
    <row r="69">
      <c r="A69" s="6" t="inlineStr">
        <is>
          <t>Отток платящих в месяц</t>
        </is>
      </c>
      <c r="B69" s="6" t="inlineStr">
        <is>
          <t>доля</t>
        </is>
      </c>
      <c r="C69" s="17" t="n">
        <v>0.2</v>
      </c>
      <c r="D69" s="17" t="n">
        <v>0.14</v>
      </c>
      <c r="E69" s="17" t="n">
        <v>0.1</v>
      </c>
      <c r="F69" s="9" t="inlineStr">
        <is>
          <t>RevenueCat: к 3-му продлению месячные планы удерживают 78–81%</t>
        </is>
      </c>
    </row>
    <row r="70"/>
    <row r="71">
      <c r="A71" s="4" t="inlineStr">
        <is>
          <t>Прототип и донаты (до выхода MVP)</t>
        </is>
      </c>
      <c r="B71" s="5" t="n"/>
      <c r="C71" s="5" t="n"/>
      <c r="D71" s="5" t="n"/>
      <c r="E71" s="5" t="n"/>
      <c r="F71" s="5" t="n"/>
    </row>
    <row r="72">
      <c r="A72" s="6" t="inlineStr">
        <is>
          <t>Активных игроков прототипа в 1-й месяц</t>
        </is>
      </c>
      <c r="B72" s="6" t="inlineStr">
        <is>
          <t>чел.</t>
        </is>
      </c>
      <c r="C72" s="15" t="n">
        <v>200</v>
      </c>
      <c r="D72" s="15" t="n">
        <v>400</v>
      </c>
      <c r="E72" s="15" t="n">
        <v>800</v>
      </c>
      <c r="F72" s="9" t="inlineStr">
        <is>
          <t>Веб-демо (ADR 39) + Discord + Reddit</t>
        </is>
      </c>
    </row>
    <row r="73">
      <c r="A73" s="6" t="inlineStr">
        <is>
          <t>Рост аудитории прототипа в месяц</t>
        </is>
      </c>
      <c r="B73" s="6" t="inlineStr">
        <is>
          <t>доля</t>
        </is>
      </c>
      <c r="C73" s="17" t="n">
        <v>0.15</v>
      </c>
      <c r="D73" s="17" t="n">
        <v>0.25</v>
      </c>
      <c r="E73" s="17" t="n">
        <v>0.35</v>
      </c>
      <c r="F73" s="9" t="inlineStr">
        <is>
          <t>Лист ожидания</t>
        </is>
      </c>
    </row>
    <row r="74">
      <c r="A74" s="6" t="inlineStr">
        <is>
          <t>Ходов в месяц на игрока прототипа</t>
        </is>
      </c>
      <c r="B74" s="6" t="inlineStr">
        <is>
          <t>ходов</t>
        </is>
      </c>
      <c r="C74" s="14">
        <f>$D$74</f>
        <v/>
      </c>
      <c r="D74" s="15" t="n">
        <v>40</v>
      </c>
      <c r="E74" s="14">
        <f>$D$74</f>
        <v/>
      </c>
      <c r="F74" s="9" t="inlineStr">
        <is>
          <t>Строгий дневной лимит на демо</t>
        </is>
      </c>
    </row>
    <row r="75">
      <c r="A75" s="6" t="inlineStr">
        <is>
          <t>Доля донатящих</t>
        </is>
      </c>
      <c r="B75" s="6" t="inlineStr">
        <is>
          <t>доля</t>
        </is>
      </c>
      <c r="C75" s="17" t="n">
        <v>0.01</v>
      </c>
      <c r="D75" s="17" t="n">
        <v>0.015</v>
      </c>
      <c r="E75" s="17" t="n">
        <v>0.02</v>
      </c>
      <c r="F75" s="9" t="inlineStr">
        <is>
          <t>Ko-fi/Patreon: 1–3% активной аудитории</t>
        </is>
      </c>
    </row>
    <row r="76">
      <c r="A76" s="6" t="inlineStr">
        <is>
          <t>Средний донат в месяц</t>
        </is>
      </c>
      <c r="B76" s="6" t="inlineStr">
        <is>
          <t>$</t>
        </is>
      </c>
      <c r="C76" s="20" t="n">
        <v>5</v>
      </c>
      <c r="D76" s="20" t="n">
        <v>6</v>
      </c>
      <c r="E76" s="20" t="n">
        <v>7</v>
      </c>
      <c r="F76" s="9" t="inlineStr">
        <is>
          <t>Ko-fi $3–5 за «кофе», Patreon $5–10</t>
        </is>
      </c>
    </row>
    <row r="77">
      <c r="A77" s="6" t="inlineStr">
        <is>
          <t>Комиссия платформы донатов и PayPal/Payoneer</t>
        </is>
      </c>
      <c r="B77" s="6" t="inlineStr">
        <is>
          <t>доля</t>
        </is>
      </c>
      <c r="C77" s="16">
        <f>$D$77</f>
        <v/>
      </c>
      <c r="D77" s="17" t="n">
        <v>0.08</v>
      </c>
      <c r="E77" s="16">
        <f>$D$77</f>
        <v/>
      </c>
      <c r="F77" s="9" t="inlineStr">
        <is>
          <t>Ko-fi 0–5% + PayPal ~3%</t>
        </is>
      </c>
    </row>
    <row r="78">
      <c r="A78" s="6" t="inlineStr">
        <is>
          <t>Доля игроков прототипа, перешедших в MVP</t>
        </is>
      </c>
      <c r="B78" s="6" t="inlineStr">
        <is>
          <t>доля</t>
        </is>
      </c>
      <c r="C78" s="16">
        <f>$D$78</f>
        <v/>
      </c>
      <c r="D78" s="17" t="n">
        <v>0.5</v>
      </c>
      <c r="E78" s="16">
        <f>$D$78</f>
        <v/>
      </c>
      <c r="F78" s="9" t="inlineStr">
        <is>
          <t>Оценка</t>
        </is>
      </c>
    </row>
    <row r="79"/>
    <row r="80">
      <c r="A80" s="4" t="inlineStr">
        <is>
          <t>Затраты</t>
        </is>
      </c>
      <c r="B80" s="5" t="n"/>
      <c r="C80" s="5" t="n"/>
      <c r="D80" s="5" t="n"/>
      <c r="E80" s="5" t="n"/>
      <c r="F80" s="5" t="n"/>
    </row>
    <row r="81">
      <c r="A81" s="6" t="inlineStr">
        <is>
          <t>Маркетинг до выхода, в месяц</t>
        </is>
      </c>
      <c r="B81" s="6" t="inlineStr">
        <is>
          <t>$</t>
        </is>
      </c>
      <c r="C81" s="21">
        <f>$D$81</f>
        <v/>
      </c>
      <c r="D81" s="22" t="n">
        <v>300</v>
      </c>
      <c r="E81" s="21">
        <f>$D$81</f>
        <v/>
      </c>
      <c r="F81" s="9" t="inlineStr">
        <is>
          <t>Тесты креативов TikTok/Reddit, микро-блогеры</t>
        </is>
      </c>
    </row>
    <row r="82">
      <c r="A82" s="6" t="inlineStr">
        <is>
          <t>Доп. маркетинг в месяц выхода</t>
        </is>
      </c>
      <c r="B82" s="6" t="inlineStr">
        <is>
          <t>$</t>
        </is>
      </c>
      <c r="C82" s="21">
        <f>$D$82</f>
        <v/>
      </c>
      <c r="D82" s="22" t="n">
        <v>2000</v>
      </c>
      <c r="E82" s="21">
        <f>$D$82</f>
        <v/>
      </c>
      <c r="F82" s="9" t="inlineStr">
        <is>
          <t>Запуск: Product Hunt, блогеры, реклама</t>
        </is>
      </c>
    </row>
    <row r="83">
      <c r="A83" s="6" t="inlineStr">
        <is>
          <t>Маркетинг после выхода, минимум в месяц</t>
        </is>
      </c>
      <c r="B83" s="6" t="inlineStr">
        <is>
          <t>$</t>
        </is>
      </c>
      <c r="C83" s="22" t="n">
        <v>600</v>
      </c>
      <c r="D83" s="22" t="n">
        <v>800</v>
      </c>
      <c r="E83" s="22" t="n">
        <v>1000</v>
      </c>
      <c r="F83" s="9" t="inlineStr">
        <is>
          <t>Пока выручка мала</t>
        </is>
      </c>
    </row>
    <row r="84">
      <c r="A84" s="6" t="inlineStr">
        <is>
          <t>Реинвест чистой выручки в маркетинг</t>
        </is>
      </c>
      <c r="B84" s="6" t="inlineStr">
        <is>
          <t>доля</t>
        </is>
      </c>
      <c r="C84" s="16">
        <f>$D$84</f>
        <v/>
      </c>
      <c r="D84" s="17" t="n">
        <v>0.3</v>
      </c>
      <c r="E84" s="16">
        <f>$D$84</f>
        <v/>
      </c>
      <c r="F84" s="9" t="inlineStr">
        <is>
          <t>Маркетинг = max(минимум, доля × выручка прошлого месяца)</t>
        </is>
      </c>
    </row>
    <row r="85">
      <c r="A85" s="6" t="inlineStr">
        <is>
          <t>Инфраструктура, база в месяц</t>
        </is>
      </c>
      <c r="B85" s="6" t="inlineStr">
        <is>
          <t>$</t>
        </is>
      </c>
      <c r="C85" s="21">
        <f>$D$85</f>
        <v/>
      </c>
      <c r="D85" s="22" t="n">
        <v>40</v>
      </c>
      <c r="E85" s="21">
        <f>$D$85</f>
        <v/>
      </c>
      <c r="F85" s="9" t="inlineStr">
        <is>
          <t>VPS 2 GB + бэкапы + почта + мониторинг (сейчас VPS 1 GB)</t>
        </is>
      </c>
    </row>
    <row r="86">
      <c r="A86" s="6" t="inlineStr">
        <is>
          <t>Инфраструктура на 1 активного в месяц</t>
        </is>
      </c>
      <c r="B86" s="6" t="inlineStr">
        <is>
          <t>$</t>
        </is>
      </c>
      <c r="C86" s="23">
        <f>$D$86</f>
        <v/>
      </c>
      <c r="D86" s="18" t="n">
        <v>0.01</v>
      </c>
      <c r="E86" s="23">
        <f>$D$86</f>
        <v/>
      </c>
      <c r="F86" s="9" t="inlineStr">
        <is>
          <t>Postgres, RabbitMQ, трафик WebSocket</t>
        </is>
      </c>
    </row>
    <row r="87">
      <c r="A87" s="6" t="inlineStr">
        <is>
          <t>SaaS-инструменты в месяц</t>
        </is>
      </c>
      <c r="B87" s="6" t="inlineStr">
        <is>
          <t>$</t>
        </is>
      </c>
      <c r="C87" s="21">
        <f>$D$87</f>
        <v/>
      </c>
      <c r="D87" s="22" t="n">
        <v>30</v>
      </c>
      <c r="E87" s="21">
        <f>$D$87</f>
        <v/>
      </c>
      <c r="F87" s="9" t="inlineStr">
        <is>
          <t>RevenueCat (бесплатно до $2,5K MRR), аналитика, дизайн</t>
        </is>
      </c>
    </row>
    <row r="88">
      <c r="A88" s="6" t="inlineStr">
        <is>
          <t>Бухгалтерия ООО в месяц</t>
        </is>
      </c>
      <c r="B88" s="6" t="inlineStr">
        <is>
          <t>$</t>
        </is>
      </c>
      <c r="C88" s="21">
        <f>$D$88</f>
        <v/>
      </c>
      <c r="D88" s="22" t="n">
        <v>150</v>
      </c>
      <c r="E88" s="21">
        <f>$D$88</f>
        <v/>
      </c>
      <c r="F88" s="9" t="inlineStr">
        <is>
          <t>Оценка по рынку Тбилиси, нужны КП (≈400 GEL)</t>
        </is>
      </c>
    </row>
    <row r="89">
      <c r="A89" s="6" t="inlineStr">
        <is>
          <t>Юр. сопровождение после выхода, в месяц</t>
        </is>
      </c>
      <c r="B89" s="6" t="inlineStr">
        <is>
          <t>$</t>
        </is>
      </c>
      <c r="C89" s="21">
        <f>$D$89</f>
        <v/>
      </c>
      <c r="D89" s="22" t="n">
        <v>100</v>
      </c>
      <c r="E89" s="21">
        <f>$D$89</f>
        <v/>
      </c>
      <c r="F89" s="9" t="inlineStr">
        <is>
          <t>Обновления ToS, запросы магазинов, жалобы</t>
        </is>
      </c>
    </row>
    <row r="90">
      <c r="A90" s="6" t="inlineStr">
        <is>
          <t>Apple Developer Program в год</t>
        </is>
      </c>
      <c r="B90" s="6" t="inlineStr">
        <is>
          <t>$</t>
        </is>
      </c>
      <c r="C90" s="21">
        <f>$D$90</f>
        <v/>
      </c>
      <c r="D90" s="22" t="n">
        <v>99</v>
      </c>
      <c r="E90" s="21">
        <f>$D$90</f>
        <v/>
      </c>
      <c r="F90" s="9" t="inlineStr">
        <is>
          <t>developer.apple.com</t>
        </is>
      </c>
    </row>
    <row r="91">
      <c r="A91" s="6" t="inlineStr">
        <is>
          <t>Google Play, разово</t>
        </is>
      </c>
      <c r="B91" s="6" t="inlineStr">
        <is>
          <t>$</t>
        </is>
      </c>
      <c r="C91" s="21">
        <f>$D$91</f>
        <v/>
      </c>
      <c r="D91" s="22" t="n">
        <v>25</v>
      </c>
      <c r="E91" s="21">
        <f>$D$91</f>
        <v/>
      </c>
      <c r="F91" s="9" t="inlineStr">
        <is>
          <t>play.google.com/console</t>
        </is>
      </c>
    </row>
    <row r="92">
      <c r="A92" s="6" t="inlineStr">
        <is>
          <t>Контент / SMM-подрядчик в месяц (со 2-го месяца после выхода)</t>
        </is>
      </c>
      <c r="B92" s="6" t="inlineStr">
        <is>
          <t>$</t>
        </is>
      </c>
      <c r="C92" s="21">
        <f>$D$92</f>
        <v/>
      </c>
      <c r="D92" s="22" t="n">
        <v>400</v>
      </c>
      <c r="E92" s="21">
        <f>$D$92</f>
        <v/>
      </c>
      <c r="F92" s="9" t="inlineStr">
        <is>
          <t>Частичная занятость, можно долей из пула</t>
        </is>
      </c>
    </row>
    <row r="93">
      <c r="A93" s="6" t="inlineStr">
        <is>
          <t>Проверка возраста (Teen) за проверку</t>
        </is>
      </c>
      <c r="B93" s="6" t="inlineStr">
        <is>
          <t>$</t>
        </is>
      </c>
      <c r="C93" s="19">
        <f>$D$93</f>
        <v/>
      </c>
      <c r="D93" s="20" t="n">
        <v>0.15</v>
      </c>
      <c r="E93" s="19">
        <f>$D$93</f>
        <v/>
      </c>
      <c r="F93" s="9" t="inlineStr">
        <is>
          <t>Didit ~$0,10, iDenfy $0,55–0,75; Apple/Google API бесплатно</t>
        </is>
      </c>
    </row>
    <row r="94">
      <c r="A94" s="6" t="inlineStr">
        <is>
          <t>Выплаты основателям — с месяца</t>
        </is>
      </c>
      <c r="B94" s="6" t="inlineStr">
        <is>
          <t>мес.</t>
        </is>
      </c>
      <c r="C94" s="11">
        <f>$D$94</f>
        <v/>
      </c>
      <c r="D94" s="10" t="n">
        <v>13</v>
      </c>
      <c r="E94" s="11">
        <f>$D$94</f>
        <v/>
      </c>
      <c r="F94" s="9" t="inlineStr">
        <is>
          <t>До этого основатели без зарплаты</t>
        </is>
      </c>
    </row>
    <row r="95">
      <c r="A95" s="6" t="inlineStr">
        <is>
          <t>Выплаты основателям в месяц (на двоих), максимум</t>
        </is>
      </c>
      <c r="B95" s="6" t="inlineStr">
        <is>
          <t>$</t>
        </is>
      </c>
      <c r="C95" s="21">
        <f>$D$95</f>
        <v/>
      </c>
      <c r="D95" s="22" t="n">
        <v>2000</v>
      </c>
      <c r="E95" s="21">
        <f>$D$95</f>
        <v/>
      </c>
      <c r="F95" s="9" t="inlineStr">
        <is>
          <t>Через ИП (1%) по договорам услуг</t>
        </is>
      </c>
    </row>
    <row r="96">
      <c r="A96" s="6" t="inlineStr">
        <is>
          <t>Выплаты основателям — не больше доли прибыли прошлого месяца</t>
        </is>
      </c>
      <c r="B96" s="6" t="inlineStr">
        <is>
          <t>доля</t>
        </is>
      </c>
      <c r="C96" s="16">
        <f>$D$96</f>
        <v/>
      </c>
      <c r="D96" s="17" t="n">
        <v>0.5</v>
      </c>
      <c r="E96" s="16">
        <f>$D$96</f>
        <v/>
      </c>
      <c r="F96" s="9" t="inlineStr">
        <is>
          <t>Платим из прибыли, а не из вложений</t>
        </is>
      </c>
    </row>
    <row r="97"/>
    <row r="98">
      <c r="A98" s="4" t="inlineStr">
        <is>
          <t>Оценка проекта</t>
        </is>
      </c>
      <c r="B98" s="5" t="n"/>
      <c r="C98" s="5" t="n"/>
      <c r="D98" s="5" t="n"/>
      <c r="E98" s="5" t="n"/>
      <c r="F98" s="5" t="n"/>
    </row>
    <row r="99">
      <c r="A99" s="6" t="inlineStr">
        <is>
          <t>Ставка дисконтирования (годовая)</t>
        </is>
      </c>
      <c r="B99" s="6" t="inlineStr">
        <is>
          <t>доля</t>
        </is>
      </c>
      <c r="C99" s="16">
        <f>$D$99</f>
        <v/>
      </c>
      <c r="D99" s="17" t="n">
        <v>0.5</v>
      </c>
      <c r="E99" s="16">
        <f>$D$99</f>
        <v/>
      </c>
      <c r="F99" s="9" t="inlineStr">
        <is>
          <t>Венчурная стадия pre-seed: 40–60%</t>
        </is>
      </c>
    </row>
    <row r="100">
      <c r="A100" s="6" t="inlineStr">
        <is>
          <t>Терминальная стоимость: множитель к ARR 36-го месяца</t>
        </is>
      </c>
      <c r="B100" s="6" t="inlineStr">
        <is>
          <t>x</t>
        </is>
      </c>
      <c r="C100" s="24" t="n">
        <v>1</v>
      </c>
      <c r="D100" s="24" t="n">
        <v>2</v>
      </c>
      <c r="E100" s="24" t="n">
        <v>3</v>
      </c>
      <c r="F100" s="9" t="inlineStr">
        <is>
          <t>Потребительские подписки: 1–4x ARR</t>
        </is>
      </c>
    </row>
    <row r="101"/>
    <row r="102">
      <c r="A102" s="4" t="inlineStr">
        <is>
          <t>Вложения (тыс. ₽). Выбранный вариант → лист «Модель_*»</t>
        </is>
      </c>
      <c r="B102" s="5" t="n"/>
      <c r="C102" s="5" t="n"/>
      <c r="D102" s="5" t="n"/>
      <c r="E102" s="5" t="n"/>
      <c r="F102" s="5" t="n"/>
    </row>
    <row r="103">
      <c r="A103" s="6" t="inlineStr">
        <is>
          <t>Выбранный вариант вложений (1 — мин., 2 — средний, 3 — макс.)</t>
        </is>
      </c>
      <c r="B103" s="6" t="inlineStr">
        <is>
          <t>№</t>
        </is>
      </c>
      <c r="C103" s="11">
        <f>$D$103</f>
        <v/>
      </c>
      <c r="D103" s="10" t="n">
        <v>2</v>
      </c>
      <c r="E103" s="11">
        <f>$D$103</f>
        <v/>
      </c>
      <c r="F103" s="9" t="inlineStr">
        <is>
          <t>Меняйте, чтобы пересчитать кассу</t>
        </is>
      </c>
    </row>
    <row r="104">
      <c r="A104" s="6" t="inlineStr">
        <is>
          <t>Вариант 1 «Минимум»: партнёр / я</t>
        </is>
      </c>
      <c r="B104" s="6" t="inlineStr">
        <is>
          <t>₽</t>
        </is>
      </c>
      <c r="C104" s="25" t="n">
        <v>300000</v>
      </c>
      <c r="D104" s="25" t="n">
        <v>200000</v>
      </c>
      <c r="E104" s="26">
        <f>C104+D104</f>
        <v/>
      </c>
      <c r="F104" s="9" t="inlineStr">
        <is>
          <t>C — партнёр, D — я (основатель-разработчик), E — итого</t>
        </is>
      </c>
    </row>
    <row r="105">
      <c r="A105" s="6" t="inlineStr">
        <is>
          <t>Вариант 2 «Средний»: партнёр / я</t>
        </is>
      </c>
      <c r="B105" s="6" t="inlineStr">
        <is>
          <t>₽</t>
        </is>
      </c>
      <c r="C105" s="25" t="n">
        <v>650000</v>
      </c>
      <c r="D105" s="25" t="n">
        <v>350000</v>
      </c>
      <c r="E105" s="26">
        <f>C105+D105</f>
        <v/>
      </c>
      <c r="F105" s="9" t="inlineStr">
        <is>
          <t>C — партнёр, D — я (основатель-разработчик), E — итого</t>
        </is>
      </c>
    </row>
    <row r="106">
      <c r="A106" s="6" t="inlineStr">
        <is>
          <t>Вариант 3 «Максимум»: партнёр / я</t>
        </is>
      </c>
      <c r="B106" s="6" t="inlineStr">
        <is>
          <t>₽</t>
        </is>
      </c>
      <c r="C106" s="25" t="n">
        <v>1000000</v>
      </c>
      <c r="D106" s="25" t="n">
        <v>500000</v>
      </c>
      <c r="E106" s="26">
        <f>C106+D106</f>
        <v/>
      </c>
      <c r="F106" s="9" t="inlineStr">
        <is>
          <t>C — партнёр, D — я (основатель-разработчик), E — итого</t>
        </is>
      </c>
    </row>
    <row r="107">
      <c r="A107" s="6" t="inlineStr">
        <is>
          <t>Партнёр: доля вложений в 1-м месяце (остальное — в месяц выхода)</t>
        </is>
      </c>
      <c r="B107" s="6" t="inlineStr">
        <is>
          <t>доля</t>
        </is>
      </c>
      <c r="C107" s="16">
        <f>$D$107</f>
        <v/>
      </c>
      <c r="D107" s="17" t="n">
        <v>0.5</v>
      </c>
      <c r="E107" s="16">
        <f>$D$107</f>
        <v/>
      </c>
      <c r="F107" s="9" t="inlineStr">
        <is>
          <t>Транши снижают риск партнёра</t>
        </is>
      </c>
    </row>
    <row r="108">
      <c r="A108" s="6" t="inlineStr">
        <is>
          <t>Я: доступно сразу</t>
        </is>
      </c>
      <c r="B108" s="6" t="inlineStr">
        <is>
          <t>₽</t>
        </is>
      </c>
      <c r="C108" s="26">
        <f>$D$108</f>
        <v/>
      </c>
      <c r="D108" s="25" t="n">
        <v>200000</v>
      </c>
      <c r="E108" s="26">
        <f>$D$108</f>
        <v/>
      </c>
      <c r="F108" s="9" t="inlineStr">
        <is>
          <t>Со слов пользователя; остальное — по 1/3 в мес. 2–4 (половина зарплаты)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58" customWidth="1" min="1" max="1"/>
    <col width="16" customWidth="1" min="2" max="2"/>
    <col width="16" customWidth="1" min="3" max="3"/>
    <col width="16" customWidth="1" min="4" max="4"/>
    <col width="22" customWidth="1" min="5" max="5"/>
    <col width="22" customWidth="1" min="6" max="6"/>
  </cols>
  <sheetData>
    <row r="1">
      <c r="A1" s="1" t="inlineStr">
        <is>
          <t>Сводка по сценариям</t>
        </is>
      </c>
    </row>
    <row r="2"/>
    <row r="3">
      <c r="A3" s="3" t="inlineStr">
        <is>
          <t>Показатель</t>
        </is>
      </c>
      <c r="B3" s="3" t="inlineStr">
        <is>
          <t>Пессим.</t>
        </is>
      </c>
      <c r="C3" s="3" t="inlineStr">
        <is>
          <t>Базовый</t>
        </is>
      </c>
      <c r="D3" s="3" t="inlineStr">
        <is>
          <t>Оптим.</t>
        </is>
      </c>
    </row>
    <row r="4">
      <c r="A4" s="6" t="inlineStr">
        <is>
          <t>Выход MVP (месяц №)</t>
        </is>
      </c>
      <c r="B4" s="27">
        <f>'Допущения'!$C$9</f>
        <v/>
      </c>
      <c r="C4" s="27">
        <f>'Допущения'!$D$9</f>
        <v/>
      </c>
      <c r="D4" s="27">
        <f>'Допущения'!$E$9</f>
        <v/>
      </c>
    </row>
    <row r="5">
      <c r="A5" s="6" t="inlineStr">
        <is>
          <t>Первый месяц с EBITDA ≥ 0 (№)</t>
        </is>
      </c>
      <c r="B5" s="27">
        <f>'Модель_П'!$B$68</f>
        <v/>
      </c>
      <c r="C5" s="27">
        <f>'Модель_Б'!$B$68</f>
        <v/>
      </c>
      <c r="D5" s="27">
        <f>'Модель_О'!$B$68</f>
        <v/>
      </c>
    </row>
    <row r="6">
      <c r="A6" s="6" t="inlineStr">
        <is>
          <t>Устойчивая безубыточность: EBITDA ≥ 0 и дальше (№ мес.)</t>
        </is>
      </c>
      <c r="B6" s="27">
        <f>'Модель_П'!$B$69</f>
        <v/>
      </c>
      <c r="C6" s="27">
        <f>'Модель_Б'!$B$69</f>
        <v/>
      </c>
      <c r="D6" s="27">
        <f>'Модель_О'!$B$69</f>
        <v/>
      </c>
    </row>
    <row r="7">
      <c r="A7" s="6" t="inlineStr">
        <is>
          <t>Устойчивая безубыточность (дата)</t>
        </is>
      </c>
      <c r="B7" s="28">
        <f>'Модель_П'!$B$70</f>
        <v/>
      </c>
      <c r="C7" s="28">
        <f>'Модель_Б'!$B$70</f>
        <v/>
      </c>
      <c r="D7" s="28">
        <f>'Модель_О'!$B$70</f>
        <v/>
      </c>
    </row>
    <row r="8">
      <c r="A8" s="6" t="inlineStr">
        <is>
          <t>Окупаемость: накопленный поток ≥ 0 (№ мес.)</t>
        </is>
      </c>
      <c r="B8" s="27">
        <f>'Модель_П'!$B$71</f>
        <v/>
      </c>
      <c r="C8" s="27">
        <f>'Модель_Б'!$B$71</f>
        <v/>
      </c>
      <c r="D8" s="27">
        <f>'Модель_О'!$B$71</f>
        <v/>
      </c>
    </row>
    <row r="9">
      <c r="A9" s="6" t="inlineStr">
        <is>
          <t>Пиковая потребность в финансировании, $</t>
        </is>
      </c>
      <c r="B9" s="29">
        <f>'Модель_П'!$B$72</f>
        <v/>
      </c>
      <c r="C9" s="29">
        <f>'Модель_Б'!$B$72</f>
        <v/>
      </c>
      <c r="D9" s="29">
        <f>'Модель_О'!$B$72</f>
        <v/>
      </c>
    </row>
    <row r="10">
      <c r="A10" s="6" t="inlineStr">
        <is>
          <t>То же, ₽</t>
        </is>
      </c>
      <c r="B10" s="30">
        <f>'Модель_П'!$B$73</f>
        <v/>
      </c>
      <c r="C10" s="30">
        <f>'Модель_Б'!$B$73</f>
        <v/>
      </c>
      <c r="D10" s="30">
        <f>'Модель_О'!$B$73</f>
        <v/>
      </c>
    </row>
    <row r="11">
      <c r="A11" s="6" t="inlineStr">
        <is>
          <t>Чистая выручка, год 1, $</t>
        </is>
      </c>
      <c r="B11" s="29">
        <f>'Модель_П'!$B$74</f>
        <v/>
      </c>
      <c r="C11" s="29">
        <f>'Модель_Б'!$B$74</f>
        <v/>
      </c>
      <c r="D11" s="29">
        <f>'Модель_О'!$B$74</f>
        <v/>
      </c>
    </row>
    <row r="12">
      <c r="A12" s="6" t="inlineStr">
        <is>
          <t>Чистая выручка, год 2, $</t>
        </is>
      </c>
      <c r="B12" s="29">
        <f>'Модель_П'!$B$75</f>
        <v/>
      </c>
      <c r="C12" s="29">
        <f>'Модель_Б'!$B$75</f>
        <v/>
      </c>
      <c r="D12" s="29">
        <f>'Модель_О'!$B$75</f>
        <v/>
      </c>
    </row>
    <row r="13">
      <c r="A13" s="6" t="inlineStr">
        <is>
          <t>Чистая выручка, год 3, $</t>
        </is>
      </c>
      <c r="B13" s="29">
        <f>'Модель_П'!$B$76</f>
        <v/>
      </c>
      <c r="C13" s="29">
        <f>'Модель_Б'!$B$76</f>
        <v/>
      </c>
      <c r="D13" s="29">
        <f>'Модель_О'!$B$76</f>
        <v/>
      </c>
    </row>
    <row r="14">
      <c r="A14" s="6" t="inlineStr">
        <is>
          <t>EBITDA, год 1, $</t>
        </is>
      </c>
      <c r="B14" s="29">
        <f>'Модель_П'!$B$77</f>
        <v/>
      </c>
      <c r="C14" s="29">
        <f>'Модель_Б'!$B$77</f>
        <v/>
      </c>
      <c r="D14" s="29">
        <f>'Модель_О'!$B$77</f>
        <v/>
      </c>
    </row>
    <row r="15">
      <c r="A15" s="6" t="inlineStr">
        <is>
          <t>EBITDA, год 2, $</t>
        </is>
      </c>
      <c r="B15" s="29">
        <f>'Модель_П'!$B$78</f>
        <v/>
      </c>
      <c r="C15" s="29">
        <f>'Модель_Б'!$B$78</f>
        <v/>
      </c>
      <c r="D15" s="29">
        <f>'Модель_О'!$B$78</f>
        <v/>
      </c>
    </row>
    <row r="16">
      <c r="A16" s="6" t="inlineStr">
        <is>
          <t>EBITDA, год 3, $</t>
        </is>
      </c>
      <c r="B16" s="29">
        <f>'Модель_П'!$B$79</f>
        <v/>
      </c>
      <c r="C16" s="29">
        <f>'Модель_Б'!$B$79</f>
        <v/>
      </c>
      <c r="D16" s="29">
        <f>'Модель_О'!$B$79</f>
        <v/>
      </c>
    </row>
    <row r="17">
      <c r="A17" s="6" t="inlineStr">
        <is>
          <t>Активные, мес. 12</t>
        </is>
      </c>
      <c r="B17" s="31">
        <f>'Модель_П'!$B$83</f>
        <v/>
      </c>
      <c r="C17" s="31">
        <f>'Модель_Б'!$B$83</f>
        <v/>
      </c>
      <c r="D17" s="31">
        <f>'Модель_О'!$B$83</f>
        <v/>
      </c>
    </row>
    <row r="18">
      <c r="A18" s="6" t="inlineStr">
        <is>
          <t>Активные, мес. 36</t>
        </is>
      </c>
      <c r="B18" s="31">
        <f>'Модель_П'!$B$84</f>
        <v/>
      </c>
      <c r="C18" s="31">
        <f>'Модель_Б'!$B$84</f>
        <v/>
      </c>
      <c r="D18" s="31">
        <f>'Модель_О'!$B$84</f>
        <v/>
      </c>
    </row>
    <row r="19">
      <c r="A19" s="6" t="inlineStr">
        <is>
          <t>Платящие, мес. 12</t>
        </is>
      </c>
      <c r="B19" s="31">
        <f>'Модель_П'!$B$80</f>
        <v/>
      </c>
      <c r="C19" s="31">
        <f>'Модель_Б'!$B$80</f>
        <v/>
      </c>
      <c r="D19" s="31">
        <f>'Модель_О'!$B$80</f>
        <v/>
      </c>
    </row>
    <row r="20">
      <c r="A20" s="6" t="inlineStr">
        <is>
          <t>Платящие, мес. 24</t>
        </is>
      </c>
      <c r="B20" s="31">
        <f>'Модель_П'!$B$81</f>
        <v/>
      </c>
      <c r="C20" s="31">
        <f>'Модель_Б'!$B$81</f>
        <v/>
      </c>
      <c r="D20" s="31">
        <f>'Модель_О'!$B$81</f>
        <v/>
      </c>
    </row>
    <row r="21">
      <c r="A21" s="6" t="inlineStr">
        <is>
          <t>Платящие, мес. 36</t>
        </is>
      </c>
      <c r="B21" s="31">
        <f>'Модель_П'!$B$82</f>
        <v/>
      </c>
      <c r="C21" s="31">
        <f>'Модель_Б'!$B$82</f>
        <v/>
      </c>
      <c r="D21" s="31">
        <f>'Модель_О'!$B$82</f>
        <v/>
      </c>
    </row>
    <row r="22">
      <c r="A22" s="6" t="inlineStr">
        <is>
          <t>MRR, мес. 12, $</t>
        </is>
      </c>
      <c r="B22" s="29">
        <f>'Модель_П'!$B$85</f>
        <v/>
      </c>
      <c r="C22" s="29">
        <f>'Модель_Б'!$B$85</f>
        <v/>
      </c>
      <c r="D22" s="29">
        <f>'Модель_О'!$B$85</f>
        <v/>
      </c>
    </row>
    <row r="23">
      <c r="A23" s="6" t="inlineStr">
        <is>
          <t>MRR, мес. 24, $</t>
        </is>
      </c>
      <c r="B23" s="29">
        <f>'Модель_П'!$B$86</f>
        <v/>
      </c>
      <c r="C23" s="29">
        <f>'Модель_Б'!$B$86</f>
        <v/>
      </c>
      <c r="D23" s="29">
        <f>'Модель_О'!$B$86</f>
        <v/>
      </c>
    </row>
    <row r="24">
      <c r="A24" s="6" t="inlineStr">
        <is>
          <t>MRR, мес. 36, $</t>
        </is>
      </c>
      <c r="B24" s="29">
        <f>'Модель_П'!$B$87</f>
        <v/>
      </c>
      <c r="C24" s="29">
        <f>'Модель_Б'!$B$87</f>
        <v/>
      </c>
      <c r="D24" s="29">
        <f>'Модель_О'!$B$87</f>
        <v/>
      </c>
    </row>
    <row r="25">
      <c r="A25" s="6" t="inlineStr">
        <is>
          <t>ARR, мес. 36, $</t>
        </is>
      </c>
      <c r="B25" s="29">
        <f>'Модель_П'!$B$88</f>
        <v/>
      </c>
      <c r="C25" s="29">
        <f>'Модель_Б'!$B$88</f>
        <v/>
      </c>
      <c r="D25" s="29">
        <f>'Модель_О'!$B$88</f>
        <v/>
      </c>
    </row>
    <row r="26">
      <c r="A26" s="6" t="inlineStr">
        <is>
          <t>CAC средний (маркетинг / новые платящие после выхода), $</t>
        </is>
      </c>
      <c r="B26" s="32">
        <f>'Модель_П'!$B$89</f>
        <v/>
      </c>
      <c r="C26" s="32">
        <f>'Модель_Б'!$B$89</f>
        <v/>
      </c>
      <c r="D26" s="32">
        <f>'Модель_О'!$B$89</f>
        <v/>
      </c>
    </row>
    <row r="27">
      <c r="A27" s="6" t="inlineStr">
        <is>
          <t>LTV платящего (чистая выручка × маржа / отток), $</t>
        </is>
      </c>
      <c r="B27" s="32">
        <f>'Модель_П'!$B$90</f>
        <v/>
      </c>
      <c r="C27" s="32">
        <f>'Модель_Б'!$B$90</f>
        <v/>
      </c>
      <c r="D27" s="32">
        <f>'Модель_О'!$B$90</f>
        <v/>
      </c>
    </row>
    <row r="28">
      <c r="A28" s="6" t="inlineStr">
        <is>
          <t>LTV / CAC</t>
        </is>
      </c>
      <c r="B28" s="33">
        <f>'Модель_П'!$B$91</f>
        <v/>
      </c>
      <c r="C28" s="33">
        <f>'Модель_Б'!$B$91</f>
        <v/>
      </c>
      <c r="D28" s="33">
        <f>'Модель_О'!$B$91</f>
        <v/>
      </c>
    </row>
    <row r="29">
      <c r="A29" s="6" t="inlineStr">
        <is>
          <t>Валовая маржа за 36 мес.</t>
        </is>
      </c>
      <c r="B29" s="34">
        <f>'Модель_П'!$B$92</f>
        <v/>
      </c>
      <c r="C29" s="34">
        <f>'Модель_Б'!$B$92</f>
        <v/>
      </c>
      <c r="D29" s="34">
        <f>'Модель_О'!$B$92</f>
        <v/>
      </c>
    </row>
    <row r="30">
      <c r="A30" s="6" t="inlineStr">
        <is>
          <t>NPV операционного потока + терминальная стоимость, $</t>
        </is>
      </c>
      <c r="B30" s="29">
        <f>'Модель_П'!$B$93</f>
        <v/>
      </c>
      <c r="C30" s="29">
        <f>'Модель_Б'!$B$93</f>
        <v/>
      </c>
      <c r="D30" s="29">
        <f>'Модель_О'!$B$93</f>
        <v/>
      </c>
    </row>
    <row r="31">
      <c r="A31" s="6" t="inlineStr">
        <is>
          <t>IRR годовая</t>
        </is>
      </c>
      <c r="B31" s="34">
        <f>'Модель_П'!$B$94</f>
        <v/>
      </c>
      <c r="C31" s="34">
        <f>'Модель_Б'!$B$94</f>
        <v/>
      </c>
      <c r="D31" s="34">
        <f>'Модель_О'!$B$94</f>
        <v/>
      </c>
    </row>
    <row r="32">
      <c r="A32" s="6" t="inlineStr">
        <is>
          <t>Мин. касса: вариант 1, $</t>
        </is>
      </c>
      <c r="B32" s="29">
        <f>'Модель_П'!$B$96</f>
        <v/>
      </c>
      <c r="C32" s="29">
        <f>'Модель_Б'!$B$96</f>
        <v/>
      </c>
      <c r="D32" s="29">
        <f>'Модель_О'!$B$96</f>
        <v/>
      </c>
    </row>
    <row r="33">
      <c r="A33" s="6" t="inlineStr">
        <is>
          <t>Мин. касса: вариант 2, $</t>
        </is>
      </c>
      <c r="B33" s="29">
        <f>'Модель_П'!$B$97</f>
        <v/>
      </c>
      <c r="C33" s="29">
        <f>'Модель_Б'!$B$97</f>
        <v/>
      </c>
      <c r="D33" s="29">
        <f>'Модель_О'!$B$97</f>
        <v/>
      </c>
    </row>
    <row r="34">
      <c r="A34" s="6" t="inlineStr">
        <is>
          <t>Мин. касса: вариант 3, $</t>
        </is>
      </c>
      <c r="B34" s="29">
        <f>'Модель_П'!$B$98</f>
        <v/>
      </c>
      <c r="C34" s="29">
        <f>'Модель_Б'!$B$98</f>
        <v/>
      </c>
      <c r="D34" s="29">
        <f>'Модель_О'!$B$98</f>
        <v/>
      </c>
    </row>
    <row r="35"/>
    <row r="36">
      <c r="A36" s="35" t="inlineStr">
        <is>
          <t>Касса на конец месяца, $ (выбранный вариант вложений) — для графика</t>
        </is>
      </c>
    </row>
    <row r="37">
      <c r="A37" s="35" t="inlineStr">
        <is>
          <t>Месяц</t>
        </is>
      </c>
      <c r="B37" s="35" t="inlineStr">
        <is>
          <t>Пессимистичный</t>
        </is>
      </c>
      <c r="C37" s="35" t="inlineStr">
        <is>
          <t>Базовый</t>
        </is>
      </c>
      <c r="D37" s="35" t="inlineStr">
        <is>
          <t>Оптимистичный</t>
        </is>
      </c>
    </row>
    <row r="38">
      <c r="A38" s="36" t="n">
        <v>1</v>
      </c>
      <c r="B38" s="29">
        <f>'Модель_П'!C55</f>
        <v/>
      </c>
      <c r="C38" s="29">
        <f>'Модель_Б'!C55</f>
        <v/>
      </c>
      <c r="D38" s="29">
        <f>'Модель_О'!C55</f>
        <v/>
      </c>
    </row>
    <row r="39">
      <c r="A39" s="36" t="n">
        <v>2</v>
      </c>
      <c r="B39" s="29">
        <f>'Модель_П'!D55</f>
        <v/>
      </c>
      <c r="C39" s="29">
        <f>'Модель_Б'!D55</f>
        <v/>
      </c>
      <c r="D39" s="29">
        <f>'Модель_О'!D55</f>
        <v/>
      </c>
    </row>
    <row r="40">
      <c r="A40" s="36" t="n">
        <v>3</v>
      </c>
      <c r="B40" s="29">
        <f>'Модель_П'!E55</f>
        <v/>
      </c>
      <c r="C40" s="29">
        <f>'Модель_Б'!E55</f>
        <v/>
      </c>
      <c r="D40" s="29">
        <f>'Модель_О'!E55</f>
        <v/>
      </c>
    </row>
    <row r="41">
      <c r="A41" s="36" t="n">
        <v>4</v>
      </c>
      <c r="B41" s="29">
        <f>'Модель_П'!F55</f>
        <v/>
      </c>
      <c r="C41" s="29">
        <f>'Модель_Б'!F55</f>
        <v/>
      </c>
      <c r="D41" s="29">
        <f>'Модель_О'!F55</f>
        <v/>
      </c>
    </row>
    <row r="42">
      <c r="A42" s="36" t="n">
        <v>5</v>
      </c>
      <c r="B42" s="29">
        <f>'Модель_П'!G55</f>
        <v/>
      </c>
      <c r="C42" s="29">
        <f>'Модель_Б'!G55</f>
        <v/>
      </c>
      <c r="D42" s="29">
        <f>'Модель_О'!G55</f>
        <v/>
      </c>
    </row>
    <row r="43">
      <c r="A43" s="36" t="n">
        <v>6</v>
      </c>
      <c r="B43" s="29">
        <f>'Модель_П'!H55</f>
        <v/>
      </c>
      <c r="C43" s="29">
        <f>'Модель_Б'!H55</f>
        <v/>
      </c>
      <c r="D43" s="29">
        <f>'Модель_О'!H55</f>
        <v/>
      </c>
    </row>
    <row r="44">
      <c r="A44" s="36" t="n">
        <v>7</v>
      </c>
      <c r="B44" s="29">
        <f>'Модель_П'!I55</f>
        <v/>
      </c>
      <c r="C44" s="29">
        <f>'Модель_Б'!I55</f>
        <v/>
      </c>
      <c r="D44" s="29">
        <f>'Модель_О'!I55</f>
        <v/>
      </c>
    </row>
    <row r="45">
      <c r="A45" s="36" t="n">
        <v>8</v>
      </c>
      <c r="B45" s="29">
        <f>'Модель_П'!J55</f>
        <v/>
      </c>
      <c r="C45" s="29">
        <f>'Модель_Б'!J55</f>
        <v/>
      </c>
      <c r="D45" s="29">
        <f>'Модель_О'!J55</f>
        <v/>
      </c>
    </row>
    <row r="46">
      <c r="A46" s="36" t="n">
        <v>9</v>
      </c>
      <c r="B46" s="29">
        <f>'Модель_П'!K55</f>
        <v/>
      </c>
      <c r="C46" s="29">
        <f>'Модель_Б'!K55</f>
        <v/>
      </c>
      <c r="D46" s="29">
        <f>'Модель_О'!K55</f>
        <v/>
      </c>
    </row>
    <row r="47">
      <c r="A47" s="36" t="n">
        <v>10</v>
      </c>
      <c r="B47" s="29">
        <f>'Модель_П'!L55</f>
        <v/>
      </c>
      <c r="C47" s="29">
        <f>'Модель_Б'!L55</f>
        <v/>
      </c>
      <c r="D47" s="29">
        <f>'Модель_О'!L55</f>
        <v/>
      </c>
    </row>
    <row r="48">
      <c r="A48" s="36" t="n">
        <v>11</v>
      </c>
      <c r="B48" s="29">
        <f>'Модель_П'!M55</f>
        <v/>
      </c>
      <c r="C48" s="29">
        <f>'Модель_Б'!M55</f>
        <v/>
      </c>
      <c r="D48" s="29">
        <f>'Модель_О'!M55</f>
        <v/>
      </c>
    </row>
    <row r="49">
      <c r="A49" s="36" t="n">
        <v>12</v>
      </c>
      <c r="B49" s="29">
        <f>'Модель_П'!N55</f>
        <v/>
      </c>
      <c r="C49" s="29">
        <f>'Модель_Б'!N55</f>
        <v/>
      </c>
      <c r="D49" s="29">
        <f>'Модель_О'!N55</f>
        <v/>
      </c>
    </row>
    <row r="50">
      <c r="A50" s="36" t="n">
        <v>13</v>
      </c>
      <c r="B50" s="29">
        <f>'Модель_П'!O55</f>
        <v/>
      </c>
      <c r="C50" s="29">
        <f>'Модель_Б'!O55</f>
        <v/>
      </c>
      <c r="D50" s="29">
        <f>'Модель_О'!O55</f>
        <v/>
      </c>
    </row>
    <row r="51">
      <c r="A51" s="36" t="n">
        <v>14</v>
      </c>
      <c r="B51" s="29">
        <f>'Модель_П'!P55</f>
        <v/>
      </c>
      <c r="C51" s="29">
        <f>'Модель_Б'!P55</f>
        <v/>
      </c>
      <c r="D51" s="29">
        <f>'Модель_О'!P55</f>
        <v/>
      </c>
    </row>
    <row r="52">
      <c r="A52" s="36" t="n">
        <v>15</v>
      </c>
      <c r="B52" s="29">
        <f>'Модель_П'!Q55</f>
        <v/>
      </c>
      <c r="C52" s="29">
        <f>'Модель_Б'!Q55</f>
        <v/>
      </c>
      <c r="D52" s="29">
        <f>'Модель_О'!Q55</f>
        <v/>
      </c>
    </row>
    <row r="53">
      <c r="A53" s="36" t="n">
        <v>16</v>
      </c>
      <c r="B53" s="29">
        <f>'Модель_П'!R55</f>
        <v/>
      </c>
      <c r="C53" s="29">
        <f>'Модель_Б'!R55</f>
        <v/>
      </c>
      <c r="D53" s="29">
        <f>'Модель_О'!R55</f>
        <v/>
      </c>
    </row>
    <row r="54">
      <c r="A54" s="36" t="n">
        <v>17</v>
      </c>
      <c r="B54" s="29">
        <f>'Модель_П'!S55</f>
        <v/>
      </c>
      <c r="C54" s="29">
        <f>'Модель_Б'!S55</f>
        <v/>
      </c>
      <c r="D54" s="29">
        <f>'Модель_О'!S55</f>
        <v/>
      </c>
    </row>
    <row r="55">
      <c r="A55" s="36" t="n">
        <v>18</v>
      </c>
      <c r="B55" s="29">
        <f>'Модель_П'!T55</f>
        <v/>
      </c>
      <c r="C55" s="29">
        <f>'Модель_Б'!T55</f>
        <v/>
      </c>
      <c r="D55" s="29">
        <f>'Модель_О'!T55</f>
        <v/>
      </c>
    </row>
    <row r="56">
      <c r="A56" s="36" t="n">
        <v>19</v>
      </c>
      <c r="B56" s="29">
        <f>'Модель_П'!U55</f>
        <v/>
      </c>
      <c r="C56" s="29">
        <f>'Модель_Б'!U55</f>
        <v/>
      </c>
      <c r="D56" s="29">
        <f>'Модель_О'!U55</f>
        <v/>
      </c>
    </row>
    <row r="57">
      <c r="A57" s="36" t="n">
        <v>20</v>
      </c>
      <c r="B57" s="29">
        <f>'Модель_П'!V55</f>
        <v/>
      </c>
      <c r="C57" s="29">
        <f>'Модель_Б'!V55</f>
        <v/>
      </c>
      <c r="D57" s="29">
        <f>'Модель_О'!V55</f>
        <v/>
      </c>
    </row>
    <row r="58">
      <c r="A58" s="36" t="n">
        <v>21</v>
      </c>
      <c r="B58" s="29">
        <f>'Модель_П'!W55</f>
        <v/>
      </c>
      <c r="C58" s="29">
        <f>'Модель_Б'!W55</f>
        <v/>
      </c>
      <c r="D58" s="29">
        <f>'Модель_О'!W55</f>
        <v/>
      </c>
    </row>
    <row r="59">
      <c r="A59" s="36" t="n">
        <v>22</v>
      </c>
      <c r="B59" s="29">
        <f>'Модель_П'!X55</f>
        <v/>
      </c>
      <c r="C59" s="29">
        <f>'Модель_Б'!X55</f>
        <v/>
      </c>
      <c r="D59" s="29">
        <f>'Модель_О'!X55</f>
        <v/>
      </c>
    </row>
    <row r="60">
      <c r="A60" s="36" t="n">
        <v>23</v>
      </c>
      <c r="B60" s="29">
        <f>'Модель_П'!Y55</f>
        <v/>
      </c>
      <c r="C60" s="29">
        <f>'Модель_Б'!Y55</f>
        <v/>
      </c>
      <c r="D60" s="29">
        <f>'Модель_О'!Y55</f>
        <v/>
      </c>
    </row>
    <row r="61">
      <c r="A61" s="36" t="n">
        <v>24</v>
      </c>
      <c r="B61" s="29">
        <f>'Модель_П'!Z55</f>
        <v/>
      </c>
      <c r="C61" s="29">
        <f>'Модель_Б'!Z55</f>
        <v/>
      </c>
      <c r="D61" s="29">
        <f>'Модель_О'!Z55</f>
        <v/>
      </c>
    </row>
    <row r="62">
      <c r="A62" s="36" t="n">
        <v>25</v>
      </c>
      <c r="B62" s="29">
        <f>'Модель_П'!AA55</f>
        <v/>
      </c>
      <c r="C62" s="29">
        <f>'Модель_Б'!AA55</f>
        <v/>
      </c>
      <c r="D62" s="29">
        <f>'Модель_О'!AA55</f>
        <v/>
      </c>
    </row>
    <row r="63">
      <c r="A63" s="36" t="n">
        <v>26</v>
      </c>
      <c r="B63" s="29">
        <f>'Модель_П'!AB55</f>
        <v/>
      </c>
      <c r="C63" s="29">
        <f>'Модель_Б'!AB55</f>
        <v/>
      </c>
      <c r="D63" s="29">
        <f>'Модель_О'!AB55</f>
        <v/>
      </c>
    </row>
    <row r="64">
      <c r="A64" s="36" t="n">
        <v>27</v>
      </c>
      <c r="B64" s="29">
        <f>'Модель_П'!AC55</f>
        <v/>
      </c>
      <c r="C64" s="29">
        <f>'Модель_Б'!AC55</f>
        <v/>
      </c>
      <c r="D64" s="29">
        <f>'Модель_О'!AC55</f>
        <v/>
      </c>
    </row>
    <row r="65">
      <c r="A65" s="36" t="n">
        <v>28</v>
      </c>
      <c r="B65" s="29">
        <f>'Модель_П'!AD55</f>
        <v/>
      </c>
      <c r="C65" s="29">
        <f>'Модель_Б'!AD55</f>
        <v/>
      </c>
      <c r="D65" s="29">
        <f>'Модель_О'!AD55</f>
        <v/>
      </c>
    </row>
    <row r="66">
      <c r="A66" s="36" t="n">
        <v>29</v>
      </c>
      <c r="B66" s="29">
        <f>'Модель_П'!AE55</f>
        <v/>
      </c>
      <c r="C66" s="29">
        <f>'Модель_Б'!AE55</f>
        <v/>
      </c>
      <c r="D66" s="29">
        <f>'Модель_О'!AE55</f>
        <v/>
      </c>
    </row>
    <row r="67">
      <c r="A67" s="36" t="n">
        <v>30</v>
      </c>
      <c r="B67" s="29">
        <f>'Модель_П'!AF55</f>
        <v/>
      </c>
      <c r="C67" s="29">
        <f>'Модель_Б'!AF55</f>
        <v/>
      </c>
      <c r="D67" s="29">
        <f>'Модель_О'!AF55</f>
        <v/>
      </c>
    </row>
    <row r="68">
      <c r="A68" s="36" t="n">
        <v>31</v>
      </c>
      <c r="B68" s="29">
        <f>'Модель_П'!AG55</f>
        <v/>
      </c>
      <c r="C68" s="29">
        <f>'Модель_Б'!AG55</f>
        <v/>
      </c>
      <c r="D68" s="29">
        <f>'Модель_О'!AG55</f>
        <v/>
      </c>
    </row>
    <row r="69">
      <c r="A69" s="36" t="n">
        <v>32</v>
      </c>
      <c r="B69" s="29">
        <f>'Модель_П'!AH55</f>
        <v/>
      </c>
      <c r="C69" s="29">
        <f>'Модель_Б'!AH55</f>
        <v/>
      </c>
      <c r="D69" s="29">
        <f>'Модель_О'!AH55</f>
        <v/>
      </c>
    </row>
    <row r="70">
      <c r="A70" s="36" t="n">
        <v>33</v>
      </c>
      <c r="B70" s="29">
        <f>'Модель_П'!AI55</f>
        <v/>
      </c>
      <c r="C70" s="29">
        <f>'Модель_Б'!AI55</f>
        <v/>
      </c>
      <c r="D70" s="29">
        <f>'Модель_О'!AI55</f>
        <v/>
      </c>
    </row>
    <row r="71">
      <c r="A71" s="36" t="n">
        <v>34</v>
      </c>
      <c r="B71" s="29">
        <f>'Модель_П'!AJ55</f>
        <v/>
      </c>
      <c r="C71" s="29">
        <f>'Модель_Б'!AJ55</f>
        <v/>
      </c>
      <c r="D71" s="29">
        <f>'Модель_О'!AJ55</f>
        <v/>
      </c>
    </row>
    <row r="72">
      <c r="A72" s="36" t="n">
        <v>35</v>
      </c>
      <c r="B72" s="29">
        <f>'Модель_П'!AK55</f>
        <v/>
      </c>
      <c r="C72" s="29">
        <f>'Модель_Б'!AK55</f>
        <v/>
      </c>
      <c r="D72" s="29">
        <f>'Модель_О'!AK55</f>
        <v/>
      </c>
    </row>
    <row r="73">
      <c r="A73" s="36" t="n">
        <v>36</v>
      </c>
      <c r="B73" s="29">
        <f>'Модель_П'!AL55</f>
        <v/>
      </c>
      <c r="C73" s="29">
        <f>'Модель_Б'!AL55</f>
        <v/>
      </c>
      <c r="D73" s="29">
        <f>'Модель_О'!AL55</f>
        <v/>
      </c>
    </row>
    <row r="74"/>
    <row r="75">
      <c r="A75" s="35" t="inlineStr">
        <is>
          <t>Платящие на конец месяца — для графика</t>
        </is>
      </c>
      <c r="B75" s="35" t="inlineStr">
        <is>
          <t>Пессимистичный</t>
        </is>
      </c>
      <c r="C75" s="35" t="inlineStr">
        <is>
          <t>Базовый</t>
        </is>
      </c>
      <c r="D75" s="35" t="inlineStr">
        <is>
          <t>Оптимистичный</t>
        </is>
      </c>
    </row>
    <row r="76">
      <c r="A76" s="36" t="n">
        <v>1</v>
      </c>
      <c r="B76" s="31">
        <f>'Модель_П'!C21</f>
        <v/>
      </c>
      <c r="C76" s="31">
        <f>'Модель_Б'!C21</f>
        <v/>
      </c>
      <c r="D76" s="31">
        <f>'Модель_О'!C21</f>
        <v/>
      </c>
    </row>
    <row r="77">
      <c r="A77" s="36" t="n">
        <v>2</v>
      </c>
      <c r="B77" s="31">
        <f>'Модель_П'!D21</f>
        <v/>
      </c>
      <c r="C77" s="31">
        <f>'Модель_Б'!D21</f>
        <v/>
      </c>
      <c r="D77" s="31">
        <f>'Модель_О'!D21</f>
        <v/>
      </c>
    </row>
    <row r="78">
      <c r="A78" s="36" t="n">
        <v>3</v>
      </c>
      <c r="B78" s="31">
        <f>'Модель_П'!E21</f>
        <v/>
      </c>
      <c r="C78" s="31">
        <f>'Модель_Б'!E21</f>
        <v/>
      </c>
      <c r="D78" s="31">
        <f>'Модель_О'!E21</f>
        <v/>
      </c>
    </row>
    <row r="79">
      <c r="A79" s="36" t="n">
        <v>4</v>
      </c>
      <c r="B79" s="31">
        <f>'Модель_П'!F21</f>
        <v/>
      </c>
      <c r="C79" s="31">
        <f>'Модель_Б'!F21</f>
        <v/>
      </c>
      <c r="D79" s="31">
        <f>'Модель_О'!F21</f>
        <v/>
      </c>
    </row>
    <row r="80">
      <c r="A80" s="36" t="n">
        <v>5</v>
      </c>
      <c r="B80" s="31">
        <f>'Модель_П'!G21</f>
        <v/>
      </c>
      <c r="C80" s="31">
        <f>'Модель_Б'!G21</f>
        <v/>
      </c>
      <c r="D80" s="31">
        <f>'Модель_О'!G21</f>
        <v/>
      </c>
    </row>
    <row r="81">
      <c r="A81" s="36" t="n">
        <v>6</v>
      </c>
      <c r="B81" s="31">
        <f>'Модель_П'!H21</f>
        <v/>
      </c>
      <c r="C81" s="31">
        <f>'Модель_Б'!H21</f>
        <v/>
      </c>
      <c r="D81" s="31">
        <f>'Модель_О'!H21</f>
        <v/>
      </c>
    </row>
    <row r="82">
      <c r="A82" s="36" t="n">
        <v>7</v>
      </c>
      <c r="B82" s="31">
        <f>'Модель_П'!I21</f>
        <v/>
      </c>
      <c r="C82" s="31">
        <f>'Модель_Б'!I21</f>
        <v/>
      </c>
      <c r="D82" s="31">
        <f>'Модель_О'!I21</f>
        <v/>
      </c>
    </row>
    <row r="83">
      <c r="A83" s="36" t="n">
        <v>8</v>
      </c>
      <c r="B83" s="31">
        <f>'Модель_П'!J21</f>
        <v/>
      </c>
      <c r="C83" s="31">
        <f>'Модель_Б'!J21</f>
        <v/>
      </c>
      <c r="D83" s="31">
        <f>'Модель_О'!J21</f>
        <v/>
      </c>
    </row>
    <row r="84">
      <c r="A84" s="36" t="n">
        <v>9</v>
      </c>
      <c r="B84" s="31">
        <f>'Модель_П'!K21</f>
        <v/>
      </c>
      <c r="C84" s="31">
        <f>'Модель_Б'!K21</f>
        <v/>
      </c>
      <c r="D84" s="31">
        <f>'Модель_О'!K21</f>
        <v/>
      </c>
    </row>
    <row r="85">
      <c r="A85" s="36" t="n">
        <v>10</v>
      </c>
      <c r="B85" s="31">
        <f>'Модель_П'!L21</f>
        <v/>
      </c>
      <c r="C85" s="31">
        <f>'Модель_Б'!L21</f>
        <v/>
      </c>
      <c r="D85" s="31">
        <f>'Модель_О'!L21</f>
        <v/>
      </c>
    </row>
    <row r="86">
      <c r="A86" s="36" t="n">
        <v>11</v>
      </c>
      <c r="B86" s="31">
        <f>'Модель_П'!M21</f>
        <v/>
      </c>
      <c r="C86" s="31">
        <f>'Модель_Б'!M21</f>
        <v/>
      </c>
      <c r="D86" s="31">
        <f>'Модель_О'!M21</f>
        <v/>
      </c>
    </row>
    <row r="87">
      <c r="A87" s="36" t="n">
        <v>12</v>
      </c>
      <c r="B87" s="31">
        <f>'Модель_П'!N21</f>
        <v/>
      </c>
      <c r="C87" s="31">
        <f>'Модель_Б'!N21</f>
        <v/>
      </c>
      <c r="D87" s="31">
        <f>'Модель_О'!N21</f>
        <v/>
      </c>
    </row>
    <row r="88">
      <c r="A88" s="36" t="n">
        <v>13</v>
      </c>
      <c r="B88" s="31">
        <f>'Модель_П'!O21</f>
        <v/>
      </c>
      <c r="C88" s="31">
        <f>'Модель_Б'!O21</f>
        <v/>
      </c>
      <c r="D88" s="31">
        <f>'Модель_О'!O21</f>
        <v/>
      </c>
    </row>
    <row r="89">
      <c r="A89" s="36" t="n">
        <v>14</v>
      </c>
      <c r="B89" s="31">
        <f>'Модель_П'!P21</f>
        <v/>
      </c>
      <c r="C89" s="31">
        <f>'Модель_Б'!P21</f>
        <v/>
      </c>
      <c r="D89" s="31">
        <f>'Модель_О'!P21</f>
        <v/>
      </c>
    </row>
    <row r="90">
      <c r="A90" s="36" t="n">
        <v>15</v>
      </c>
      <c r="B90" s="31">
        <f>'Модель_П'!Q21</f>
        <v/>
      </c>
      <c r="C90" s="31">
        <f>'Модель_Б'!Q21</f>
        <v/>
      </c>
      <c r="D90" s="31">
        <f>'Модель_О'!Q21</f>
        <v/>
      </c>
    </row>
    <row r="91">
      <c r="A91" s="36" t="n">
        <v>16</v>
      </c>
      <c r="B91" s="31">
        <f>'Модель_П'!R21</f>
        <v/>
      </c>
      <c r="C91" s="31">
        <f>'Модель_Б'!R21</f>
        <v/>
      </c>
      <c r="D91" s="31">
        <f>'Модель_О'!R21</f>
        <v/>
      </c>
    </row>
    <row r="92">
      <c r="A92" s="36" t="n">
        <v>17</v>
      </c>
      <c r="B92" s="31">
        <f>'Модель_П'!S21</f>
        <v/>
      </c>
      <c r="C92" s="31">
        <f>'Модель_Б'!S21</f>
        <v/>
      </c>
      <c r="D92" s="31">
        <f>'Модель_О'!S21</f>
        <v/>
      </c>
    </row>
    <row r="93">
      <c r="A93" s="36" t="n">
        <v>18</v>
      </c>
      <c r="B93" s="31">
        <f>'Модель_П'!T21</f>
        <v/>
      </c>
      <c r="C93" s="31">
        <f>'Модель_Б'!T21</f>
        <v/>
      </c>
      <c r="D93" s="31">
        <f>'Модель_О'!T21</f>
        <v/>
      </c>
    </row>
    <row r="94">
      <c r="A94" s="36" t="n">
        <v>19</v>
      </c>
      <c r="B94" s="31">
        <f>'Модель_П'!U21</f>
        <v/>
      </c>
      <c r="C94" s="31">
        <f>'Модель_Б'!U21</f>
        <v/>
      </c>
      <c r="D94" s="31">
        <f>'Модель_О'!U21</f>
        <v/>
      </c>
    </row>
    <row r="95">
      <c r="A95" s="36" t="n">
        <v>20</v>
      </c>
      <c r="B95" s="31">
        <f>'Модель_П'!V21</f>
        <v/>
      </c>
      <c r="C95" s="31">
        <f>'Модель_Б'!V21</f>
        <v/>
      </c>
      <c r="D95" s="31">
        <f>'Модель_О'!V21</f>
        <v/>
      </c>
    </row>
    <row r="96">
      <c r="A96" s="36" t="n">
        <v>21</v>
      </c>
      <c r="B96" s="31">
        <f>'Модель_П'!W21</f>
        <v/>
      </c>
      <c r="C96" s="31">
        <f>'Модель_Б'!W21</f>
        <v/>
      </c>
      <c r="D96" s="31">
        <f>'Модель_О'!W21</f>
        <v/>
      </c>
    </row>
    <row r="97">
      <c r="A97" s="36" t="n">
        <v>22</v>
      </c>
      <c r="B97" s="31">
        <f>'Модель_П'!X21</f>
        <v/>
      </c>
      <c r="C97" s="31">
        <f>'Модель_Б'!X21</f>
        <v/>
      </c>
      <c r="D97" s="31">
        <f>'Модель_О'!X21</f>
        <v/>
      </c>
    </row>
    <row r="98">
      <c r="A98" s="36" t="n">
        <v>23</v>
      </c>
      <c r="B98" s="31">
        <f>'Модель_П'!Y21</f>
        <v/>
      </c>
      <c r="C98" s="31">
        <f>'Модель_Б'!Y21</f>
        <v/>
      </c>
      <c r="D98" s="31">
        <f>'Модель_О'!Y21</f>
        <v/>
      </c>
    </row>
    <row r="99">
      <c r="A99" s="36" t="n">
        <v>24</v>
      </c>
      <c r="B99" s="31">
        <f>'Модель_П'!Z21</f>
        <v/>
      </c>
      <c r="C99" s="31">
        <f>'Модель_Б'!Z21</f>
        <v/>
      </c>
      <c r="D99" s="31">
        <f>'Модель_О'!Z21</f>
        <v/>
      </c>
    </row>
    <row r="100">
      <c r="A100" s="36" t="n">
        <v>25</v>
      </c>
      <c r="B100" s="31">
        <f>'Модель_П'!AA21</f>
        <v/>
      </c>
      <c r="C100" s="31">
        <f>'Модель_Б'!AA21</f>
        <v/>
      </c>
      <c r="D100" s="31">
        <f>'Модель_О'!AA21</f>
        <v/>
      </c>
    </row>
    <row r="101">
      <c r="A101" s="36" t="n">
        <v>26</v>
      </c>
      <c r="B101" s="31">
        <f>'Модель_П'!AB21</f>
        <v/>
      </c>
      <c r="C101" s="31">
        <f>'Модель_Б'!AB21</f>
        <v/>
      </c>
      <c r="D101" s="31">
        <f>'Модель_О'!AB21</f>
        <v/>
      </c>
    </row>
    <row r="102">
      <c r="A102" s="36" t="n">
        <v>27</v>
      </c>
      <c r="B102" s="31">
        <f>'Модель_П'!AC21</f>
        <v/>
      </c>
      <c r="C102" s="31">
        <f>'Модель_Б'!AC21</f>
        <v/>
      </c>
      <c r="D102" s="31">
        <f>'Модель_О'!AC21</f>
        <v/>
      </c>
    </row>
    <row r="103">
      <c r="A103" s="36" t="n">
        <v>28</v>
      </c>
      <c r="B103" s="31">
        <f>'Модель_П'!AD21</f>
        <v/>
      </c>
      <c r="C103" s="31">
        <f>'Модель_Б'!AD21</f>
        <v/>
      </c>
      <c r="D103" s="31">
        <f>'Модель_О'!AD21</f>
        <v/>
      </c>
    </row>
    <row r="104">
      <c r="A104" s="36" t="n">
        <v>29</v>
      </c>
      <c r="B104" s="31">
        <f>'Модель_П'!AE21</f>
        <v/>
      </c>
      <c r="C104" s="31">
        <f>'Модель_Б'!AE21</f>
        <v/>
      </c>
      <c r="D104" s="31">
        <f>'Модель_О'!AE21</f>
        <v/>
      </c>
    </row>
    <row r="105">
      <c r="A105" s="36" t="n">
        <v>30</v>
      </c>
      <c r="B105" s="31">
        <f>'Модель_П'!AF21</f>
        <v/>
      </c>
      <c r="C105" s="31">
        <f>'Модель_Б'!AF21</f>
        <v/>
      </c>
      <c r="D105" s="31">
        <f>'Модель_О'!AF21</f>
        <v/>
      </c>
    </row>
    <row r="106">
      <c r="A106" s="36" t="n">
        <v>31</v>
      </c>
      <c r="B106" s="31">
        <f>'Модель_П'!AG21</f>
        <v/>
      </c>
      <c r="C106" s="31">
        <f>'Модель_Б'!AG21</f>
        <v/>
      </c>
      <c r="D106" s="31">
        <f>'Модель_О'!AG21</f>
        <v/>
      </c>
    </row>
    <row r="107">
      <c r="A107" s="36" t="n">
        <v>32</v>
      </c>
      <c r="B107" s="31">
        <f>'Модель_П'!AH21</f>
        <v/>
      </c>
      <c r="C107" s="31">
        <f>'Модель_Б'!AH21</f>
        <v/>
      </c>
      <c r="D107" s="31">
        <f>'Модель_О'!AH21</f>
        <v/>
      </c>
    </row>
    <row r="108">
      <c r="A108" s="36" t="n">
        <v>33</v>
      </c>
      <c r="B108" s="31">
        <f>'Модель_П'!AI21</f>
        <v/>
      </c>
      <c r="C108" s="31">
        <f>'Модель_Б'!AI21</f>
        <v/>
      </c>
      <c r="D108" s="31">
        <f>'Модель_О'!AI21</f>
        <v/>
      </c>
    </row>
    <row r="109">
      <c r="A109" s="36" t="n">
        <v>34</v>
      </c>
      <c r="B109" s="31">
        <f>'Модель_П'!AJ21</f>
        <v/>
      </c>
      <c r="C109" s="31">
        <f>'Модель_Б'!AJ21</f>
        <v/>
      </c>
      <c r="D109" s="31">
        <f>'Модель_О'!AJ21</f>
        <v/>
      </c>
    </row>
    <row r="110">
      <c r="A110" s="36" t="n">
        <v>35</v>
      </c>
      <c r="B110" s="31">
        <f>'Модель_П'!AK21</f>
        <v/>
      </c>
      <c r="C110" s="31">
        <f>'Модель_Б'!AK21</f>
        <v/>
      </c>
      <c r="D110" s="31">
        <f>'Модель_О'!AK21</f>
        <v/>
      </c>
    </row>
    <row r="111">
      <c r="A111" s="36" t="n">
        <v>36</v>
      </c>
      <c r="B111" s="31">
        <f>'Модель_П'!AL21</f>
        <v/>
      </c>
      <c r="C111" s="31">
        <f>'Модель_Б'!AL21</f>
        <v/>
      </c>
      <c r="D111" s="31">
        <f>'Модель_О'!AL21</f>
        <v/>
      </c>
    </row>
    <row r="112"/>
    <row r="113">
      <c r="A113" s="35" t="inlineStr">
        <is>
          <t>Вложения: что покупают (базовый сценарий)</t>
        </is>
      </c>
    </row>
    <row r="114">
      <c r="A114" s="3" t="inlineStr">
        <is>
          <t>Вариант</t>
        </is>
      </c>
      <c r="B114" s="3" t="inlineStr">
        <is>
          <t>Итого, ₽</t>
        </is>
      </c>
      <c r="C114" s="3" t="inlineStr">
        <is>
          <t>Итого, $</t>
        </is>
      </c>
      <c r="D114" s="3" t="inlineStr">
        <is>
          <t>Мин. касса, $</t>
        </is>
      </c>
      <c r="E114" s="3" t="inlineStr">
        <is>
          <t>Хватает без доп. денег?</t>
        </is>
      </c>
      <c r="F114" s="3" t="inlineStr">
        <is>
          <t>Свободный остаток → установки (по CPI)</t>
        </is>
      </c>
    </row>
    <row r="115">
      <c r="A115" s="36" t="inlineStr">
        <is>
          <t>1 «Минимум»: 300К + 200К</t>
        </is>
      </c>
      <c r="B115" s="30">
        <f>'Допущения'!$E$104</f>
        <v/>
      </c>
      <c r="C115" s="37">
        <f>B115/'Допущения'!$D$7</f>
        <v/>
      </c>
      <c r="D115" s="29">
        <f>'Модель_Б'!$B$96</f>
        <v/>
      </c>
      <c r="E115" s="36">
        <f>IF(D115&gt;=0,"да","нет, дефицит $"&amp;ROUND(-D115,0))</f>
        <v/>
      </c>
      <c r="F115" s="38">
        <f>MAX(0,D115)/'Допущения'!$D$60</f>
        <v/>
      </c>
    </row>
    <row r="116">
      <c r="A116" s="36" t="inlineStr">
        <is>
          <t>2 «Средний»: 650К + 350К</t>
        </is>
      </c>
      <c r="B116" s="30">
        <f>'Допущения'!$E$105</f>
        <v/>
      </c>
      <c r="C116" s="37">
        <f>B116/'Допущения'!$D$7</f>
        <v/>
      </c>
      <c r="D116" s="29">
        <f>'Модель_Б'!$B$97</f>
        <v/>
      </c>
      <c r="E116" s="36">
        <f>IF(D116&gt;=0,"да","нет, дефицит $"&amp;ROUND(-D116,0))</f>
        <v/>
      </c>
      <c r="F116" s="38">
        <f>MAX(0,D116)/'Допущения'!$D$60</f>
        <v/>
      </c>
    </row>
    <row r="117">
      <c r="A117" s="36" t="inlineStr">
        <is>
          <t>3 «Максимум»: 1 000К + 500К</t>
        </is>
      </c>
      <c r="B117" s="30">
        <f>'Допущения'!$E$106</f>
        <v/>
      </c>
      <c r="C117" s="37">
        <f>B117/'Допущения'!$D$7</f>
        <v/>
      </c>
      <c r="D117" s="29">
        <f>'Модель_Б'!$B$98</f>
        <v/>
      </c>
      <c r="E117" s="36">
        <f>IF(D117&gt;=0,"да","нет, дефицит $"&amp;ROUND(-D117,0))</f>
        <v/>
      </c>
      <c r="F117" s="38">
        <f>MAX(0,D117)/'Допущения'!$D$60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Себестоимость хода, лимиты и цена подписки</t>
        </is>
      </c>
    </row>
    <row r="2">
      <c r="A2" s="2" t="inlineStr">
        <is>
          <t>«Запрос» = ход игрока: все вызовы guard + gm + npc + generator за одну реплику. Колонки C–E — сценарии.</t>
        </is>
      </c>
    </row>
    <row r="3"/>
    <row r="4">
      <c r="A4" s="39" t="inlineStr">
        <is>
          <t>Показатель</t>
        </is>
      </c>
      <c r="B4" s="39" t="inlineStr">
        <is>
          <t>Ед.</t>
        </is>
      </c>
      <c r="C4" s="39" t="inlineStr">
        <is>
          <t>Пессим.</t>
        </is>
      </c>
      <c r="D4" s="39" t="inlineStr">
        <is>
          <t>Базовый</t>
        </is>
      </c>
      <c r="E4" s="39" t="inlineStr">
        <is>
          <t>Оптим.</t>
        </is>
      </c>
      <c r="F4" s="39" t="inlineStr">
        <is>
          <t>Формула / комментарий</t>
        </is>
      </c>
    </row>
    <row r="5">
      <c r="A5" s="6" t="inlineStr">
        <is>
          <t>Ход на Haiku, токены теста</t>
        </is>
      </c>
      <c r="B5" s="6" t="inlineStr">
        <is>
          <t>$</t>
        </is>
      </c>
      <c r="C5" s="23">
        <f>('Допущения'!$C$23*(1-'Допущения'!$C$26)*'Допущения'!$C$13+'Допущения'!$C$23*'Допущения'!$C$26*'Допущения'!$C$16+'Допущения'!$C$24*'Допущения'!$C$15+'Допущения'!$C$25*'Допущения'!$C$14)/1000000</f>
        <v/>
      </c>
      <c r="D5" s="23">
        <f>('Допущения'!$D$23*(1-'Допущения'!$D$26)*'Допущения'!$D$13+'Допущения'!$D$23*'Допущения'!$D$26*'Допущения'!$D$16+'Допущения'!$D$24*'Допущения'!$D$15+'Допущения'!$D$25*'Допущения'!$D$14)/1000000</f>
        <v/>
      </c>
      <c r="E5" s="23">
        <f>('Допущения'!$E$23*(1-'Допущения'!$E$26)*'Допущения'!$E$13+'Допущения'!$E$23*'Допущения'!$E$26*'Допущения'!$E$16+'Допущения'!$E$24*'Допущения'!$E$15+'Допущения'!$E$25*'Допущения'!$E$14)/1000000</f>
        <v/>
      </c>
      <c r="F5" s="9" t="inlineStr">
        <is>
          <t>Проверка: фактическое среднее по тестам $0,00186</t>
        </is>
      </c>
    </row>
    <row r="6">
      <c r="A6" s="6" t="inlineStr">
        <is>
          <t>Тот же ход целиком на Sonnet</t>
        </is>
      </c>
      <c r="B6" s="6" t="inlineStr">
        <is>
          <t>$</t>
        </is>
      </c>
      <c r="C6" s="23">
        <f>('Допущения'!$C$23*(1-'Допущения'!$C$26)*'Допущения'!$C$17+'Допущения'!$C$23*'Допущения'!$C$26*'Допущения'!$C$20+'Допущения'!$C$24*'Допущения'!$C$19+'Допущения'!$C$25*'Допущения'!$C$18)/1000000</f>
        <v/>
      </c>
      <c r="D6" s="23">
        <f>('Допущения'!$D$23*(1-'Допущения'!$D$26)*'Допущения'!$D$17+'Допущения'!$D$23*'Допущения'!$D$26*'Допущения'!$D$20+'Допущения'!$D$24*'Допущения'!$D$19+'Допущения'!$D$25*'Допущения'!$D$18)/1000000</f>
        <v/>
      </c>
      <c r="E6" s="23">
        <f>('Допущения'!$E$23*(1-'Допущения'!$E$26)*'Допущения'!$E$17+'Допущения'!$E$23*'Допущения'!$E$26*'Допущения'!$E$20+'Допущения'!$E$24*'Допущения'!$E$19+'Допущения'!$E$25*'Допущения'!$E$18)/1000000</f>
        <v/>
      </c>
      <c r="F6" s="9" t="inlineStr">
        <is>
          <t>Справочно: в Premium на Sonnet только мастер</t>
        </is>
      </c>
    </row>
    <row r="7">
      <c r="A7" s="6" t="inlineStr">
        <is>
          <t>Себестоимость хода Haiku (с запасом и модерацией)</t>
        </is>
      </c>
      <c r="B7" s="6" t="inlineStr">
        <is>
          <t>$</t>
        </is>
      </c>
      <c r="C7" s="23">
        <f>$C$5*'Допущения'!$C$28+'Допущения'!$C$29</f>
        <v/>
      </c>
      <c r="D7" s="23">
        <f>$D$5*'Допущения'!$D$28+'Допущения'!$D$29</f>
        <v/>
      </c>
      <c r="E7" s="23">
        <f>$E$5*'Допущения'!$E$28+'Допущения'!$E$29</f>
        <v/>
      </c>
      <c r="F7" s="9" t="inlineStr">
        <is>
          <t>× множитель длинных сессий + модерация</t>
        </is>
      </c>
    </row>
    <row r="8">
      <c r="A8" s="6" t="inlineStr">
        <is>
          <t>Себестоимость хода Premium (мастер на Sonnet, прочие — Haiku)</t>
        </is>
      </c>
      <c r="B8" s="6" t="inlineStr">
        <is>
          <t>$</t>
        </is>
      </c>
      <c r="C8" s="23">
        <f>('Допущения'!$C$27*$C$6+(1-'Допущения'!$C$27)*$C$5)*'Допущения'!$C$28+'Допущения'!$C$29</f>
        <v/>
      </c>
      <c r="D8" s="23">
        <f>('Допущения'!$D$27*$D$6+(1-'Допущения'!$D$27)*$D$5)*'Допущения'!$D$28+'Допущения'!$D$29</f>
        <v/>
      </c>
      <c r="E8" s="23">
        <f>('Допущения'!$E$27*$E$6+(1-'Допущения'!$E$27)*$E$5)*'Допущения'!$E$28+'Допущения'!$E$29</f>
        <v/>
      </c>
      <c r="F8" s="9" t="inlineStr"/>
    </row>
    <row r="9">
      <c r="A9" s="6" t="inlineStr">
        <is>
          <t>Premium-ход дороже Haiku-хода в</t>
        </is>
      </c>
      <c r="B9" s="6" t="inlineStr">
        <is>
          <t>x</t>
        </is>
      </c>
      <c r="C9" s="40">
        <f>$C$8/$C$7</f>
        <v/>
      </c>
      <c r="D9" s="40">
        <f>$D$8/$D$7</f>
        <v/>
      </c>
      <c r="E9" s="40">
        <f>$E$8/$E$7</f>
        <v/>
      </c>
      <c r="F9" s="9" t="inlineStr"/>
    </row>
    <row r="10">
      <c r="A10" s="6" t="inlineStr">
        <is>
          <t>Чистыми с $1 цены (после магазинов, Paddle %, НДС)</t>
        </is>
      </c>
      <c r="B10" s="6" t="inlineStr">
        <is>
          <t>доля</t>
        </is>
      </c>
      <c r="C10" s="16">
        <f>(1-'Допущения'!$C$56)*((1-'Допущения'!$C$53)*(1-'Допущения'!$C$52)+'Допущения'!$C$53*(1-'Допущения'!$C$54))</f>
        <v/>
      </c>
      <c r="D10" s="16">
        <f>(1-'Допущения'!$D$56)*((1-'Допущения'!$D$53)*(1-'Допущения'!$D$52)+'Допущения'!$D$53*(1-'Допущения'!$D$54))</f>
        <v/>
      </c>
      <c r="E10" s="16">
        <f>(1-'Допущения'!$E$56)*((1-'Допущения'!$E$53)*(1-'Допущения'!$E$52)+'Допущения'!$E$53*(1-'Допущения'!$E$54))</f>
        <v/>
      </c>
      <c r="F10" s="9" t="inlineStr">
        <is>
          <t>Фикс. $0,50 Paddle вычитается отдельно</t>
        </is>
      </c>
    </row>
    <row r="11">
      <c r="A11" s="6" t="inlineStr">
        <is>
          <t>Комфортный объём, ходов в месяц</t>
        </is>
      </c>
      <c r="B11" s="6" t="inlineStr">
        <is>
          <t>ходов</t>
        </is>
      </c>
      <c r="C11" s="14">
        <f>ROUNDUP('Допущения'!$C$33*'Допущения'!$C$34*52/12/100,0)*100</f>
        <v/>
      </c>
      <c r="D11" s="14">
        <f>ROUNDUP('Допущения'!$D$33*'Допущения'!$D$34*52/12/100,0)*100</f>
        <v/>
      </c>
      <c r="E11" s="14">
        <f>ROUNDUP('Допущения'!$E$33*'Допущения'!$E$34*52/12/100,0)*100</f>
        <v/>
      </c>
      <c r="F11" s="9" t="inlineStr">
        <is>
          <t>сессия × сессий в неделю × 4,33, вверх до сотни</t>
        </is>
      </c>
    </row>
    <row r="12">
      <c r="A12" s="6" t="inlineStr">
        <is>
          <t>ARPPU брутто (средневзвешенная цена)</t>
        </is>
      </c>
      <c r="B12" s="6" t="inlineStr">
        <is>
          <t>$</t>
        </is>
      </c>
      <c r="C12" s="19">
        <f>'Допущения'!$C$44*'Допущения'!$C$35+'Допущения'!$C$45*'Допущения'!$C$37+'Допущения'!$C$46*'Допущения'!$C$39+'Допущения'!$C$47*'Допущения'!$C$42</f>
        <v/>
      </c>
      <c r="D12" s="19">
        <f>'Допущения'!$D$44*'Допущения'!$D$35+'Допущения'!$D$45*'Допущения'!$D$37+'Допущения'!$D$46*'Допущения'!$D$39+'Допущения'!$D$47*'Допущения'!$D$42</f>
        <v/>
      </c>
      <c r="E12" s="19">
        <f>'Допущения'!$E$44*'Допущения'!$E$35+'Допущения'!$E$45*'Допущения'!$E$37+'Допущения'!$E$46*'Допущения'!$E$39+'Допущения'!$E$47*'Допущения'!$E$42</f>
        <v/>
      </c>
      <c r="F12" s="9" t="inlineStr">
        <is>
          <t>Σ доля × цена</t>
        </is>
      </c>
    </row>
    <row r="13">
      <c r="A13" s="6" t="inlineStr">
        <is>
          <t>Чистая выручка на платящего</t>
        </is>
      </c>
      <c r="B13" s="6" t="inlineStr">
        <is>
          <t>$</t>
        </is>
      </c>
      <c r="C13" s="19">
        <f>'Допущения'!$C$44*('Допущения'!$C$35*$C$10-'Допущения'!$C$53*'Допущения'!$C$55)+'Допущения'!$C$45*('Допущения'!$C$37*$C$10-'Допущения'!$C$53*'Допущения'!$C$55)+'Допущения'!$C$46*('Допущения'!$C$39*$C$10-'Допущения'!$C$53*'Допущения'!$C$55)+'Допущения'!$C$47*('Допущения'!$C$42*$C$10-'Допущения'!$C$53*'Допущения'!$C$55)</f>
        <v/>
      </c>
      <c r="D13" s="19">
        <f>'Допущения'!$D$44*('Допущения'!$D$35*$D$10-'Допущения'!$D$53*'Допущения'!$D$55)+'Допущения'!$D$45*('Допущения'!$D$37*$D$10-'Допущения'!$D$53*'Допущения'!$D$55)+'Допущения'!$D$46*('Допущения'!$D$39*$D$10-'Допущения'!$D$53*'Допущения'!$D$55)+'Допущения'!$D$47*('Допущения'!$D$42*$D$10-'Допущения'!$D$53*'Допущения'!$D$55)</f>
        <v/>
      </c>
      <c r="E13" s="19">
        <f>'Допущения'!$E$44*('Допущения'!$E$35*$E$10-'Допущения'!$E$53*'Допущения'!$E$55)+'Допущения'!$E$45*('Допущения'!$E$37*$E$10-'Допущения'!$E$53*'Допущения'!$E$55)+'Допущения'!$E$46*('Допущения'!$E$39*$E$10-'Допущения'!$E$53*'Допущения'!$E$55)+'Допущения'!$E$47*('Допущения'!$E$42*$E$10-'Допущения'!$E$53*'Допущения'!$E$55)</f>
        <v/>
      </c>
      <c r="F13" s="9" t="inlineStr"/>
    </row>
    <row r="14">
      <c r="A14" s="6" t="inlineStr">
        <is>
          <t>Ожидаемые затраты на LLM на платящего</t>
        </is>
      </c>
      <c r="B14" s="6" t="inlineStr">
        <is>
          <t>$</t>
        </is>
      </c>
      <c r="C14" s="19">
        <f>'Допущения'!$C$44*(('Допущения'!$C$36-0)*$C$7+0*$C$8)*'Допущения'!$C$48+'Допущения'!$C$45*(('Допущения'!$C$38-0)*$C$7+0*$C$8)*'Допущения'!$C$48+'Допущения'!$C$46*(('Допущения'!$C$40-'Допущения'!$C$41)*$C$7+'Допущения'!$C$41*$C$8)*'Допущения'!$C$48+'Допущения'!$C$47*(('Допущения'!$C$43-0)*$C$7+0*$C$8)*'Допущения'!$C$48</f>
        <v/>
      </c>
      <c r="D14" s="19">
        <f>'Допущения'!$D$44*(('Допущения'!$D$36-0)*$D$7+0*$D$8)*'Допущения'!$D$48+'Допущения'!$D$45*(('Допущения'!$D$38-0)*$D$7+0*$D$8)*'Допущения'!$D$48+'Допущения'!$D$46*(('Допущения'!$D$40-'Допущения'!$D$41)*$D$7+'Допущения'!$D$41*$D$8)*'Допущения'!$D$48+'Допущения'!$D$47*(('Допущения'!$D$43-0)*$D$7+0*$D$8)*'Допущения'!$D$48</f>
        <v/>
      </c>
      <c r="E14" s="19">
        <f>'Допущения'!$E$44*(('Допущения'!$E$36-0)*$E$7+0*$E$8)*'Допущения'!$E$48+'Допущения'!$E$45*(('Допущения'!$E$38-0)*$E$7+0*$E$8)*'Допущения'!$E$48+'Допущения'!$E$46*(('Допущения'!$E$40-'Допущения'!$E$41)*$E$7+'Допущения'!$E$41*$E$8)*'Допущения'!$E$48+'Допущения'!$E$47*(('Допущения'!$E$43-0)*$E$7+0*$E$8)*'Допущения'!$E$48</f>
        <v/>
      </c>
      <c r="F14" s="9" t="inlineStr">
        <is>
          <t>× средняя выборка лимита</t>
        </is>
      </c>
    </row>
    <row r="15">
      <c r="A15" s="6" t="inlineStr">
        <is>
          <t>Валовая маржа платящего</t>
        </is>
      </c>
      <c r="B15" s="6" t="inlineStr">
        <is>
          <t>доля</t>
        </is>
      </c>
      <c r="C15" s="16">
        <f>IFERROR(($C$13-$C$14)/$C$13,0)</f>
        <v/>
      </c>
      <c r="D15" s="16">
        <f>IFERROR(($D$13-$D$14)/$D$13,0)</f>
        <v/>
      </c>
      <c r="E15" s="16">
        <f>IFERROR(($E$13-$E$14)/$E$13,0)</f>
        <v/>
      </c>
      <c r="F15" s="9" t="inlineStr"/>
    </row>
    <row r="16">
      <c r="A16" s="6" t="inlineStr">
        <is>
          <t>Затраты на активного free в месяц</t>
        </is>
      </c>
      <c r="B16" s="6" t="inlineStr">
        <is>
          <t>$</t>
        </is>
      </c>
      <c r="C16" s="19">
        <f>'Допущения'!$C$49*$C$7</f>
        <v/>
      </c>
      <c r="D16" s="19">
        <f>'Допущения'!$D$49*$D$7</f>
        <v/>
      </c>
      <c r="E16" s="19">
        <f>'Допущения'!$E$49*$E$7</f>
        <v/>
      </c>
      <c r="F16" s="9" t="inlineStr"/>
    </row>
    <row r="17"/>
    <row r="18">
      <c r="A18" s="35" t="inlineStr">
        <is>
          <t>Себестоимость подписки по объёмам (базовый сценарий), лимит недели = ¼ месячного</t>
        </is>
      </c>
    </row>
    <row r="19">
      <c r="A19" s="6" t="inlineStr">
        <is>
          <t>Целевая валовая маржа</t>
        </is>
      </c>
      <c r="D19" s="17" t="n">
        <v>0.7</v>
      </c>
      <c r="F19" s="9" t="inlineStr">
        <is>
          <t>Ориентир для подписок с ИИ: 60–75%</t>
        </is>
      </c>
    </row>
    <row r="20"/>
    <row r="21" ht="58" customHeight="1">
      <c r="A21" s="39" t="inlineStr">
        <is>
          <t>Объём / модель</t>
        </is>
      </c>
      <c r="B21" s="39" t="inlineStr">
        <is>
          <t>Ходов в мес.</t>
        </is>
      </c>
      <c r="C21" s="39" t="inlineStr">
        <is>
          <t>Ходов в неделю (¼)</t>
        </is>
      </c>
      <c r="D21" s="39" t="inlineStr">
        <is>
          <t>Неделя 4: дней (мес. 28/30/31)</t>
        </is>
      </c>
      <c r="E21" s="39" t="inlineStr">
        <is>
          <t>Неделя 4: ходов в день (при 31 дне)</t>
        </is>
      </c>
      <c r="F21" s="39" t="inlineStr">
        <is>
          <t>Себест. при 100% лимита, $</t>
        </is>
      </c>
      <c r="G21" s="39" t="inlineStr">
        <is>
          <t>Себест. ожидаемая, $</t>
        </is>
      </c>
      <c r="H21" s="39" t="inlineStr">
        <is>
          <t>Цена при марже 70% от 100% лимита, $</t>
        </is>
      </c>
      <c r="I21" s="39" t="inlineStr">
        <is>
          <t>Цена при марже 70% от ожидаемой, $</t>
        </is>
      </c>
      <c r="J21" s="39" t="inlineStr">
        <is>
          <t>Себест. в ₽ (100%)</t>
        </is>
      </c>
    </row>
    <row r="22">
      <c r="A22" s="6" t="inlineStr">
        <is>
          <t>1 000 ходов — Haiku</t>
        </is>
      </c>
      <c r="B22" s="14">
        <f>1000</f>
        <v/>
      </c>
      <c r="C22" s="14">
        <f>B22/4</f>
        <v/>
      </c>
      <c r="D22" s="41" t="inlineStr">
        <is>
          <t>7 / 9 / 10</t>
        </is>
      </c>
      <c r="E22" s="42">
        <f>C22/10</f>
        <v/>
      </c>
      <c r="F22" s="19">
        <f>B22*$D$7</f>
        <v/>
      </c>
      <c r="G22" s="19">
        <f>F22*'Допущения'!$D$48</f>
        <v/>
      </c>
      <c r="H22" s="19">
        <f>(F22/(1-$D$19)+'Допущения'!$D$53*'Допущения'!$D$55)/$D$10</f>
        <v/>
      </c>
      <c r="I22" s="19">
        <f>(G22/(1-$D$19)+'Допущения'!$D$53*'Допущения'!$D$55)/$D$10</f>
        <v/>
      </c>
      <c r="J22" s="26">
        <f>F22*'Допущения'!$D$7</f>
        <v/>
      </c>
    </row>
    <row r="23">
      <c r="A23" s="6" t="inlineStr">
        <is>
          <t>Комфорт — Haiku</t>
        </is>
      </c>
      <c r="B23" s="14">
        <f>$D$11</f>
        <v/>
      </c>
      <c r="C23" s="14">
        <f>B23/4</f>
        <v/>
      </c>
      <c r="D23" s="41" t="inlineStr">
        <is>
          <t>7 / 9 / 10</t>
        </is>
      </c>
      <c r="E23" s="42">
        <f>C23/10</f>
        <v/>
      </c>
      <c r="F23" s="19">
        <f>B23*$D$7</f>
        <v/>
      </c>
      <c r="G23" s="19">
        <f>F23*'Допущения'!$D$48</f>
        <v/>
      </c>
      <c r="H23" s="19">
        <f>(F23/(1-$D$19)+'Допущения'!$D$53*'Допущения'!$D$55)/$D$10</f>
        <v/>
      </c>
      <c r="I23" s="19">
        <f>(G23/(1-$D$19)+'Допущения'!$D$53*'Допущения'!$D$55)/$D$10</f>
        <v/>
      </c>
      <c r="J23" s="26">
        <f>F23*'Допущения'!$D$7</f>
        <v/>
      </c>
    </row>
    <row r="24">
      <c r="A24" s="6" t="inlineStr">
        <is>
          <t>10 000 ходов — Haiku</t>
        </is>
      </c>
      <c r="B24" s="14">
        <f>10000</f>
        <v/>
      </c>
      <c r="C24" s="14">
        <f>B24/4</f>
        <v/>
      </c>
      <c r="D24" s="41" t="inlineStr">
        <is>
          <t>7 / 9 / 10</t>
        </is>
      </c>
      <c r="E24" s="42">
        <f>C24/10</f>
        <v/>
      </c>
      <c r="F24" s="19">
        <f>B24*$D$7</f>
        <v/>
      </c>
      <c r="G24" s="19">
        <f>F24*'Допущения'!$D$48</f>
        <v/>
      </c>
      <c r="H24" s="19">
        <f>(F24/(1-$D$19)+'Допущения'!$D$53*'Допущения'!$D$55)/$D$10</f>
        <v/>
      </c>
      <c r="I24" s="19">
        <f>(G24/(1-$D$19)+'Допущения'!$D$53*'Допущения'!$D$55)/$D$10</f>
        <v/>
      </c>
      <c r="J24" s="26">
        <f>F24*'Допущения'!$D$7</f>
        <v/>
      </c>
    </row>
    <row r="25">
      <c r="A25" s="6" t="inlineStr">
        <is>
          <t>1 000 ходов — мастер на Sonnet</t>
        </is>
      </c>
      <c r="B25" s="14">
        <f>1000</f>
        <v/>
      </c>
      <c r="C25" s="14">
        <f>B25/4</f>
        <v/>
      </c>
      <c r="D25" s="41" t="inlineStr">
        <is>
          <t>7 / 9 / 10</t>
        </is>
      </c>
      <c r="E25" s="42">
        <f>C25/10</f>
        <v/>
      </c>
      <c r="F25" s="19">
        <f>B25*$D$8</f>
        <v/>
      </c>
      <c r="G25" s="19">
        <f>F25*'Допущения'!$D$48</f>
        <v/>
      </c>
      <c r="H25" s="19">
        <f>(F25/(1-$D$19)+'Допущения'!$D$53*'Допущения'!$D$55)/$D$10</f>
        <v/>
      </c>
      <c r="I25" s="19">
        <f>(G25/(1-$D$19)+'Допущения'!$D$53*'Допущения'!$D$55)/$D$10</f>
        <v/>
      </c>
      <c r="J25" s="26">
        <f>F25*'Допущения'!$D$7</f>
        <v/>
      </c>
    </row>
    <row r="26">
      <c r="A26" s="6" t="inlineStr">
        <is>
          <t>Комфорт — мастер на Sonnet</t>
        </is>
      </c>
      <c r="B26" s="14">
        <f>$D$11</f>
        <v/>
      </c>
      <c r="C26" s="14">
        <f>B26/4</f>
        <v/>
      </c>
      <c r="D26" s="41" t="inlineStr">
        <is>
          <t>7 / 9 / 10</t>
        </is>
      </c>
      <c r="E26" s="42">
        <f>C26/10</f>
        <v/>
      </c>
      <c r="F26" s="19">
        <f>B26*$D$8</f>
        <v/>
      </c>
      <c r="G26" s="19">
        <f>F26*'Допущения'!$D$48</f>
        <v/>
      </c>
      <c r="H26" s="19">
        <f>(F26/(1-$D$19)+'Допущения'!$D$53*'Допущения'!$D$55)/$D$10</f>
        <v/>
      </c>
      <c r="I26" s="19">
        <f>(G26/(1-$D$19)+'Допущения'!$D$53*'Допущения'!$D$55)/$D$10</f>
        <v/>
      </c>
      <c r="J26" s="26">
        <f>F26*'Допущения'!$D$7</f>
        <v/>
      </c>
    </row>
    <row r="27">
      <c r="A27" s="6" t="inlineStr">
        <is>
          <t>10 000 ходов — мастер на Sonnet</t>
        </is>
      </c>
      <c r="B27" s="14">
        <f>10000</f>
        <v/>
      </c>
      <c r="C27" s="14">
        <f>B27/4</f>
        <v/>
      </c>
      <c r="D27" s="41" t="inlineStr">
        <is>
          <t>7 / 9 / 10</t>
        </is>
      </c>
      <c r="E27" s="42">
        <f>C27/10</f>
        <v/>
      </c>
      <c r="F27" s="19">
        <f>B27*$D$8</f>
        <v/>
      </c>
      <c r="G27" s="19">
        <f>F27*'Допущения'!$D$48</f>
        <v/>
      </c>
      <c r="H27" s="19">
        <f>(F27/(1-$D$19)+'Допущения'!$D$53*'Допущения'!$D$55)/$D$10</f>
        <v/>
      </c>
      <c r="I27" s="19">
        <f>(G27/(1-$D$19)+'Допущения'!$D$53*'Допущения'!$D$55)/$D$10</f>
        <v/>
      </c>
      <c r="J27" s="26">
        <f>F27*'Допущения'!$D$7</f>
        <v/>
      </c>
    </row>
    <row r="28">
      <c r="A28" s="6" t="inlineStr">
        <is>
          <t>Free (30 в неделю)</t>
        </is>
      </c>
      <c r="B28" s="14">
        <f>'Допущения'!$D$32*4</f>
        <v/>
      </c>
      <c r="C28" s="14">
        <f>B28/4</f>
        <v/>
      </c>
      <c r="D28" s="41" t="inlineStr">
        <is>
          <t>7 / 9 / 10</t>
        </is>
      </c>
      <c r="E28" s="42">
        <f>C28/10</f>
        <v/>
      </c>
      <c r="F28" s="19">
        <f>B28*$D$7</f>
        <v/>
      </c>
      <c r="G28" s="19">
        <f>F28*'Допущения'!$D$48</f>
        <v/>
      </c>
      <c r="H28" s="19">
        <f>(F28/(1-$D$19)+'Допущения'!$D$53*'Допущения'!$D$55)/$D$10</f>
        <v/>
      </c>
      <c r="I28" s="19">
        <f>(G28/(1-$D$19)+'Допущения'!$D$53*'Допущения'!$D$55)/$D$10</f>
        <v/>
      </c>
      <c r="J28" s="26">
        <f>F28*'Допущения'!$D$7</f>
        <v/>
      </c>
    </row>
    <row r="29">
      <c r="A29" s="43" t="inlineStr">
        <is>
          <t>Окна лимита привязаны к дате подписки: недели 1–3 — по 7 дней, неделя 4 — с 22-го дня до продления (7–10 дней в зависимости от длины месяца). Неиспользованный остаток недели не переносится.</t>
        </is>
      </c>
    </row>
    <row r="30"/>
    <row r="31">
      <c r="A31" s="35" t="inlineStr">
        <is>
          <t>Рекомендуемая тарифная сетка (базовый сценарий)</t>
        </is>
      </c>
    </row>
    <row r="32" ht="44" customHeight="1">
      <c r="A32" s="39" t="inlineStr">
        <is>
          <t>Тариф</t>
        </is>
      </c>
      <c r="B32" s="39" t="inlineStr">
        <is>
          <t>Цена, $/мес</t>
        </is>
      </c>
      <c r="C32" s="39" t="inlineStr">
        <is>
          <t>Ходов в мес.</t>
        </is>
      </c>
      <c r="D32" s="39" t="inlineStr">
        <is>
          <t>Ходов в неделю</t>
        </is>
      </c>
      <c r="E32" s="39" t="inlineStr">
        <is>
          <t>Из них Sonnet</t>
        </is>
      </c>
      <c r="F32" s="39" t="inlineStr">
        <is>
          <t>Себест. 100% лимита, $</t>
        </is>
      </c>
      <c r="G32" s="39" t="inlineStr">
        <is>
          <t>Себест. ожидаемая, $</t>
        </is>
      </c>
      <c r="H32" s="39" t="inlineStr">
        <is>
          <t>Чистая выручка, $</t>
        </is>
      </c>
      <c r="I32" s="39" t="inlineStr">
        <is>
          <t>Маржа при 100% лимита</t>
        </is>
      </c>
      <c r="J32" s="39" t="inlineStr">
        <is>
          <t>Маржа ожидаемая</t>
        </is>
      </c>
    </row>
    <row r="33">
      <c r="A33" s="6" t="inlineStr">
        <is>
          <t>Free</t>
        </is>
      </c>
      <c r="B33" s="19" t="n">
        <v>0</v>
      </c>
      <c r="C33" s="14">
        <f>'Допущения'!$D$32*4</f>
        <v/>
      </c>
      <c r="D33" s="14">
        <f>'Допущения'!$D$32</f>
        <v/>
      </c>
      <c r="E33" s="14" t="n">
        <v>0</v>
      </c>
      <c r="F33" s="19">
        <f>C33*$D$7</f>
        <v/>
      </c>
      <c r="G33" s="19">
        <f>'Допущения'!$D$49*$D$7</f>
        <v/>
      </c>
      <c r="H33" s="19" t="n">
        <v>0</v>
      </c>
      <c r="I33" s="36" t="inlineStr">
        <is>
          <t>—</t>
        </is>
      </c>
      <c r="J33" s="36" t="inlineStr">
        <is>
          <t>—</t>
        </is>
      </c>
    </row>
    <row r="34">
      <c r="A34" s="6" t="inlineStr">
        <is>
          <t>Teen 13–17</t>
        </is>
      </c>
      <c r="B34" s="32">
        <f>'Допущения'!$D$35</f>
        <v/>
      </c>
      <c r="C34" s="31">
        <f>'Допущения'!$D$36</f>
        <v/>
      </c>
      <c r="D34" s="14">
        <f>C34/4</f>
        <v/>
      </c>
      <c r="E34" s="14" t="n">
        <v>0</v>
      </c>
      <c r="F34" s="19">
        <f>(('Допущения'!$D$36-0)*$D$7+0*$D$8)</f>
        <v/>
      </c>
      <c r="G34" s="19">
        <f>(('Допущения'!$D$36-0)*$D$7+0*$D$8)*'Допущения'!$D$48</f>
        <v/>
      </c>
      <c r="H34" s="19">
        <f>('Допущения'!$D$35*$D$10-'Допущения'!$D$53*'Допущения'!$D$55)</f>
        <v/>
      </c>
      <c r="I34" s="16">
        <f>IFERROR((H34-F34)/H34,0)</f>
        <v/>
      </c>
      <c r="J34" s="16">
        <f>IFERROR((H34-G34)/H34,0)</f>
        <v/>
      </c>
    </row>
    <row r="35">
      <c r="A35" s="6" t="inlineStr">
        <is>
          <t>Standard</t>
        </is>
      </c>
      <c r="B35" s="32">
        <f>'Допущения'!$D$37</f>
        <v/>
      </c>
      <c r="C35" s="31">
        <f>'Допущения'!$D$38</f>
        <v/>
      </c>
      <c r="D35" s="14">
        <f>C35/4</f>
        <v/>
      </c>
      <c r="E35" s="14" t="n">
        <v>0</v>
      </c>
      <c r="F35" s="19">
        <f>(('Допущения'!$D$38-0)*$D$7+0*$D$8)</f>
        <v/>
      </c>
      <c r="G35" s="19">
        <f>(('Допущения'!$D$38-0)*$D$7+0*$D$8)*'Допущения'!$D$48</f>
        <v/>
      </c>
      <c r="H35" s="19">
        <f>('Допущения'!$D$37*$D$10-'Допущения'!$D$53*'Допущения'!$D$55)</f>
        <v/>
      </c>
      <c r="I35" s="16">
        <f>IFERROR((H35-F35)/H35,0)</f>
        <v/>
      </c>
      <c r="J35" s="16">
        <f>IFERROR((H35-G35)/H35,0)</f>
        <v/>
      </c>
    </row>
    <row r="36">
      <c r="A36" s="6" t="inlineStr">
        <is>
          <t>Premium</t>
        </is>
      </c>
      <c r="B36" s="32">
        <f>'Допущения'!$D$39</f>
        <v/>
      </c>
      <c r="C36" s="31">
        <f>'Допущения'!$D$40</f>
        <v/>
      </c>
      <c r="D36" s="14">
        <f>C36/4</f>
        <v/>
      </c>
      <c r="E36" s="14">
        <f>'Допущения'!$D$41</f>
        <v/>
      </c>
      <c r="F36" s="19">
        <f>(('Допущения'!$D$40-'Допущения'!$D$41)*$D$7+'Допущения'!$D$41*$D$8)</f>
        <v/>
      </c>
      <c r="G36" s="19">
        <f>(('Допущения'!$D$40-'Допущения'!$D$41)*$D$7+'Допущения'!$D$41*$D$8)*'Допущения'!$D$48</f>
        <v/>
      </c>
      <c r="H36" s="19">
        <f>('Допущения'!$D$39*$D$10-'Допущения'!$D$53*'Допущения'!$D$55)</f>
        <v/>
      </c>
      <c r="I36" s="16">
        <f>IFERROR((H36-F36)/H36,0)</f>
        <v/>
      </c>
      <c r="J36" s="16">
        <f>IFERROR((H36-G36)/H36,0)</f>
        <v/>
      </c>
    </row>
    <row r="37">
      <c r="A37" s="6" t="inlineStr">
        <is>
          <t>Legend 10 000</t>
        </is>
      </c>
      <c r="B37" s="32">
        <f>'Допущения'!$D$42</f>
        <v/>
      </c>
      <c r="C37" s="31">
        <f>'Допущения'!$D$43</f>
        <v/>
      </c>
      <c r="D37" s="14">
        <f>C37/4</f>
        <v/>
      </c>
      <c r="E37" s="14" t="n">
        <v>0</v>
      </c>
      <c r="F37" s="19">
        <f>(('Допущения'!$D$43-0)*$D$7+0*$D$8)</f>
        <v/>
      </c>
      <c r="G37" s="19">
        <f>(('Допущения'!$D$43-0)*$D$7+0*$D$8)*'Допущения'!$D$48</f>
        <v/>
      </c>
      <c r="H37" s="19">
        <f>('Допущения'!$D$42*$D$10-'Допущения'!$D$53*'Допущения'!$D$55)</f>
        <v/>
      </c>
      <c r="I37" s="16">
        <f>IFERROR((H37-F37)/H37,0)</f>
        <v/>
      </c>
      <c r="J37" s="16">
        <f>IFERROR((H37-G37)/H37,0)</f>
        <v/>
      </c>
    </row>
    <row r="38">
      <c r="A38" s="43" t="inlineStr">
        <is>
          <t>Отрицательная маржа при 100% лимита — риск «китов». Защита: недельные окна, мягкое замедление после 80% лимита, честное «fair use» в условиях.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66" customWidth="1" min="1" max="1"/>
    <col width="16" customWidth="1" min="2" max="2"/>
    <col width="8" customWidth="1" min="3" max="3"/>
    <col width="12" customWidth="1" min="4" max="4"/>
    <col width="14" customWidth="1" min="5" max="5"/>
    <col width="14" customWidth="1" min="6" max="6"/>
    <col width="60" customWidth="1" min="7" max="7"/>
  </cols>
  <sheetData>
    <row r="1">
      <c r="A1" s="1" t="inlineStr">
        <is>
          <t>Стартовые разовые затраты (регулярные — в «Модель_*»)</t>
        </is>
      </c>
    </row>
    <row r="2">
      <c r="A2" s="2" t="inlineStr">
        <is>
          <t>Месяц — номер месяца модели (1 = ноябрь 2026). Суммы — оценки по открытым источникам на 17.10.2026; по юр. услугам запросить 2–3 КП.</t>
        </is>
      </c>
    </row>
    <row r="3"/>
    <row r="4">
      <c r="A4" s="3" t="inlineStr">
        <is>
          <t>Статья</t>
        </is>
      </c>
      <c r="B4" s="3" t="inlineStr">
        <is>
          <t>Этап</t>
        </is>
      </c>
      <c r="C4" s="3" t="inlineStr">
        <is>
          <t>Месяц</t>
        </is>
      </c>
      <c r="D4" s="3" t="inlineStr">
        <is>
          <t>Сумма, $</t>
        </is>
      </c>
      <c r="E4" s="3" t="inlineStr">
        <is>
          <t>Сумма, ₽</t>
        </is>
      </c>
      <c r="F4" s="3" t="inlineStr">
        <is>
          <t>Обязательность</t>
        </is>
      </c>
      <c r="G4" s="3" t="inlineStr">
        <is>
          <t>Источник / комментарий</t>
        </is>
      </c>
    </row>
    <row r="5">
      <c r="A5" s="6" t="inlineStr">
        <is>
          <t>Домен .com/.app + почта на год</t>
        </is>
      </c>
      <c r="B5" s="6" t="inlineStr">
        <is>
          <t>0. Прототип</t>
        </is>
      </c>
      <c r="C5" s="11">
        <f>1</f>
        <v/>
      </c>
      <c r="D5" s="22" t="n">
        <v>40</v>
      </c>
      <c r="E5" s="26">
        <f>D5*'Допущения'!$D$7</f>
        <v/>
      </c>
      <c r="F5" s="6" t="inlineStr">
        <is>
          <t>обяз.</t>
        </is>
      </c>
      <c r="G5" s="6" t="inlineStr">
        <is>
          <t>Cloudflare Registrar / Namecheap</t>
        </is>
      </c>
    </row>
    <row r="6">
      <c r="A6" s="6" t="inlineStr">
        <is>
          <t>Б/у Android-телефон для тестов</t>
        </is>
      </c>
      <c r="B6" s="6" t="inlineStr">
        <is>
          <t>0. Прототип</t>
        </is>
      </c>
      <c r="C6" s="11">
        <f>1</f>
        <v/>
      </c>
      <c r="D6" s="22" t="n">
        <v>150</v>
      </c>
      <c r="E6" s="26">
        <f>D6*'Допущения'!$D$7</f>
        <v/>
      </c>
      <c r="F6" s="6" t="inlineStr">
        <is>
          <t>желат.</t>
        </is>
      </c>
      <c r="G6" s="6" t="inlineStr">
        <is>
          <t>Сейчас — эмулятор; нужен реальный девайс</t>
        </is>
      </c>
    </row>
    <row r="7">
      <c r="A7" s="6" t="inlineStr">
        <is>
          <t>Госпошлина ООО, юр. адрес на год, переводы и нотариус</t>
        </is>
      </c>
      <c r="B7" s="6" t="inlineStr">
        <is>
          <t>1. До MVP</t>
        </is>
      </c>
      <c r="C7" s="11">
        <f>'Допущения'!$D$10</f>
        <v/>
      </c>
      <c r="D7" s="22" t="n">
        <v>250</v>
      </c>
      <c r="E7" s="26">
        <f>D7*'Допущения'!$D$7</f>
        <v/>
      </c>
      <c r="F7" s="6" t="inlineStr">
        <is>
          <t>обяз.</t>
        </is>
      </c>
      <c r="G7" s="6" t="inlineStr">
        <is>
          <t>Дом юстиции: 100–200 GEL; юр. адрес ~$100–150/год</t>
        </is>
      </c>
    </row>
    <row r="8">
      <c r="A8" s="6" t="inlineStr">
        <is>
          <t>Юрист: устав ООО с вестингом + соглашение участников</t>
        </is>
      </c>
      <c r="B8" s="6" t="inlineStr">
        <is>
          <t>1. До MVP</t>
        </is>
      </c>
      <c r="C8" s="11">
        <f>'Допущения'!$D$10</f>
        <v/>
      </c>
      <c r="D8" s="22" t="n">
        <v>1000</v>
      </c>
      <c r="E8" s="26">
        <f>D8*'Допущения'!$D$7</f>
        <v/>
      </c>
      <c r="F8" s="6" t="inlineStr">
        <is>
          <t>обяз.</t>
        </is>
      </c>
      <c r="G8" s="6" t="inlineStr">
        <is>
          <t>Под ключ $500–1000 + SHA; запросить КП</t>
        </is>
      </c>
    </row>
    <row r="9">
      <c r="A9" s="6" t="inlineStr">
        <is>
          <t>Регистрация ИП ×2 + статус малого бизнеса (1%)</t>
        </is>
      </c>
      <c r="B9" s="6" t="inlineStr">
        <is>
          <t>1. До MVP</t>
        </is>
      </c>
      <c r="C9" s="11">
        <f>'Допущения'!$D$10</f>
        <v/>
      </c>
      <c r="D9" s="22" t="n">
        <v>200</v>
      </c>
      <c r="E9" s="26">
        <f>D9*'Допущения'!$D$7</f>
        <v/>
      </c>
      <c r="F9" s="6" t="inlineStr">
        <is>
          <t>желат.</t>
        </is>
      </c>
      <c r="G9" s="6" t="inlineStr">
        <is>
          <t>Для выплат основателям по договорам услуг</t>
        </is>
      </c>
    </row>
    <row r="10">
      <c r="A10" s="6" t="inlineStr">
        <is>
          <t>Разрешения на работу (Special Labour Permit) ×2 с сопровождением</t>
        </is>
      </c>
      <c r="B10" s="6" t="inlineStr">
        <is>
          <t>1. До MVP</t>
        </is>
      </c>
      <c r="C10" s="11">
        <f>'Допущения'!$D$10</f>
        <v/>
      </c>
      <c r="D10" s="22" t="n">
        <v>600</v>
      </c>
      <c r="E10" s="26">
        <f>D10*'Допущения'!$D$7</f>
        <v/>
      </c>
      <c r="F10" s="6" t="inlineStr">
        <is>
          <t>обяз.</t>
        </is>
      </c>
      <c r="G10" s="6" t="inlineStr">
        <is>
          <t>С 01.03.2026 нужны директору ООО и ИП-иностранцу; пошлину уточнить</t>
        </is>
      </c>
    </row>
    <row r="11">
      <c r="A11" s="6" t="inlineStr">
        <is>
          <t>Статус Virtual Zone (заявка через провайдера)</t>
        </is>
      </c>
      <c r="B11" s="6" t="inlineStr">
        <is>
          <t>1. До MVP</t>
        </is>
      </c>
      <c r="C11" s="11">
        <f>'Допущения'!$D$10+1</f>
        <v/>
      </c>
      <c r="D11" s="22" t="n">
        <v>670</v>
      </c>
      <c r="E11" s="26">
        <f>D11*'Допущения'!$D$7</f>
        <v/>
      </c>
      <c r="F11" s="6" t="inlineStr">
        <is>
          <t>обяз.</t>
        </is>
      </c>
      <c r="G11" s="6" t="inlineStr">
        <is>
          <t>1 500 GEL + НДС (ExpatHub) ≈ $670</t>
        </is>
      </c>
    </row>
    <row r="12">
      <c r="A12" s="6" t="inlineStr">
        <is>
          <t>Товарный знак США (USPTO), 2 класса (9, 41)</t>
        </is>
      </c>
      <c r="B12" s="6" t="inlineStr">
        <is>
          <t>1. До MVP</t>
        </is>
      </c>
      <c r="C12" s="11">
        <f>'Допущения'!$D$10+1</f>
        <v/>
      </c>
      <c r="D12" s="22" t="n">
        <v>700</v>
      </c>
      <c r="E12" s="26">
        <f>D12*'Допущения'!$D$7</f>
        <v/>
      </c>
      <c r="F12" s="6" t="inlineStr">
        <is>
          <t>желат.</t>
        </is>
      </c>
      <c r="G12" s="6" t="inlineStr">
        <is>
          <t>$350 за класс (2026)</t>
        </is>
      </c>
    </row>
    <row r="13">
      <c r="A13" s="6" t="inlineStr">
        <is>
          <t>Патентный поверенный (поиск, подача)</t>
        </is>
      </c>
      <c r="B13" s="6" t="inlineStr">
        <is>
          <t>1. До MVP</t>
        </is>
      </c>
      <c r="C13" s="11">
        <f>'Допущения'!$D$10+1</f>
        <v/>
      </c>
      <c r="D13" s="22" t="n">
        <v>500</v>
      </c>
      <c r="E13" s="26">
        <f>D13*'Допущения'!$D$7</f>
        <v/>
      </c>
      <c r="F13" s="6" t="inlineStr">
        <is>
          <t>желат.</t>
        </is>
      </c>
      <c r="G13" s="6" t="inlineStr">
        <is>
          <t>Оценка</t>
        </is>
      </c>
    </row>
    <row r="14">
      <c r="A14" s="6" t="inlineStr">
        <is>
          <t>ToS, Privacy Policy, AI-дисклеймеры, политика безопасности — проверка юристом</t>
        </is>
      </c>
      <c r="B14" s="6" t="inlineStr">
        <is>
          <t>1. До MVP</t>
        </is>
      </c>
      <c r="C14" s="11">
        <f>'Допущения'!$D$9-1</f>
        <v/>
      </c>
      <c r="D14" s="22" t="n">
        <v>1200</v>
      </c>
      <c r="E14" s="26">
        <f>D14*'Допущения'!$D$7</f>
        <v/>
      </c>
      <c r="F14" s="6" t="inlineStr">
        <is>
          <t>обяз.</t>
        </is>
      </c>
      <c r="G14" s="6" t="inlineStr">
        <is>
          <t>COPPA, GDPR, CCPA, SB 243, EU AI Act ст. 50</t>
        </is>
      </c>
    </row>
    <row r="15">
      <c r="A15" s="6" t="inlineStr">
        <is>
          <t>Материалы магазинов: иконка, скриншоты, трейлер</t>
        </is>
      </c>
      <c r="B15" s="6" t="inlineStr">
        <is>
          <t>1. До MVP</t>
        </is>
      </c>
      <c r="C15" s="11">
        <f>'Допущения'!$D$9-1</f>
        <v/>
      </c>
      <c r="D15" s="22" t="n">
        <v>300</v>
      </c>
      <c r="E15" s="26">
        <f>D15*'Допущения'!$D$7</f>
        <v/>
      </c>
      <c r="F15" s="6" t="inlineStr">
        <is>
          <t>обяз.</t>
        </is>
      </c>
      <c r="G15" s="6" t="inlineStr">
        <is>
          <t>Делаю сам + генерация; бюджет на стоки/озвучку</t>
        </is>
      </c>
    </row>
    <row r="16">
      <c r="A16" s="6" t="inlineStr">
        <is>
          <t>Набор тестов безопасности (кризисные сценарии), red-teaming</t>
        </is>
      </c>
      <c r="B16" s="6" t="inlineStr">
        <is>
          <t>1. До MVP</t>
        </is>
      </c>
      <c r="C16" s="11">
        <f>'Допущения'!$D$9-1</f>
        <v/>
      </c>
      <c r="D16" s="22" t="n">
        <v>300</v>
      </c>
      <c r="E16" s="26">
        <f>D16*'Допущения'!$D$7</f>
        <v/>
      </c>
      <c r="F16" s="6" t="inlineStr">
        <is>
          <t>обяз.</t>
        </is>
      </c>
      <c r="G16" s="6" t="inlineStr">
        <is>
          <t>Внешний тестировщик-модератор, разово</t>
        </is>
      </c>
    </row>
    <row r="17">
      <c r="A17" s="6" t="inlineStr">
        <is>
          <t>Товарный знак ЕС (EUIPO), 2 класса</t>
        </is>
      </c>
      <c r="B17" s="6" t="inlineStr">
        <is>
          <t>2. После выхода</t>
        </is>
      </c>
      <c r="C17" s="11">
        <f>'Допущения'!$D$9+4</f>
        <v/>
      </c>
      <c r="D17" s="22" t="n">
        <v>1050</v>
      </c>
      <c r="E17" s="26">
        <f>D17*'Допущения'!$D$7</f>
        <v/>
      </c>
      <c r="F17" s="6" t="inlineStr">
        <is>
          <t>желат.</t>
        </is>
      </c>
      <c r="G17" s="6" t="inlineStr">
        <is>
          <t>€850 + €50 ≈ $1 050</t>
        </is>
      </c>
    </row>
    <row r="18">
      <c r="A18" s="35" t="inlineStr">
        <is>
          <t>Итого разовые</t>
        </is>
      </c>
      <c r="D18" s="44">
        <f>SUM(D5:D17)</f>
        <v/>
      </c>
      <c r="E18" s="45">
        <f>SUM(E5:E17)</f>
        <v/>
      </c>
    </row>
    <row r="19">
      <c r="A19" s="6" t="inlineStr">
        <is>
          <t>в т. ч. обязательные</t>
        </is>
      </c>
      <c r="D19" s="37">
        <f>SUMIF(F5:F17,"обяз.",D5:D17)</f>
        <v/>
      </c>
      <c r="E19" s="46">
        <f>D19*'Допущения'!$D$7</f>
        <v/>
      </c>
    </row>
    <row r="20"/>
    <row r="21">
      <c r="A21" s="35" t="inlineStr">
        <is>
          <t>Бюджет до выхода MVP включительно (из модели, все затраты)</t>
        </is>
      </c>
    </row>
    <row r="22">
      <c r="A22" s="6" t="inlineStr">
        <is>
          <t>Пессимистичный: расходы мес. 1 … выход</t>
        </is>
      </c>
      <c r="D22" s="29">
        <f>'Модель_П'!$B$99</f>
        <v/>
      </c>
      <c r="E22" s="46">
        <f>D22*'Допущения'!$D$7</f>
        <v/>
      </c>
    </row>
    <row r="23">
      <c r="A23" s="6" t="inlineStr">
        <is>
          <t>Базовый: расходы мес. 1 … выход</t>
        </is>
      </c>
      <c r="D23" s="29">
        <f>'Модель_Б'!$B$99</f>
        <v/>
      </c>
      <c r="E23" s="46">
        <f>D23*'Допущения'!$D$7</f>
        <v/>
      </c>
    </row>
    <row r="24">
      <c r="A24" s="6" t="inlineStr">
        <is>
          <t>Оптимистичный: расходы мес. 1 … выход</t>
        </is>
      </c>
      <c r="D24" s="29">
        <f>'Модель_О'!$B$99</f>
        <v/>
      </c>
      <c r="E24" s="46">
        <f>D24*'Допущения'!$D$7</f>
        <v/>
      </c>
    </row>
    <row r="25">
      <c r="A25" s="6" t="inlineStr">
        <is>
          <t>Резерв на непредвиденное</t>
        </is>
      </c>
      <c r="C25" s="17" t="n">
        <v>0.15</v>
      </c>
    </row>
    <row r="26">
      <c r="A26" s="35" t="inlineStr">
        <is>
          <t>Базовый: стартовый бюджет с резервом</t>
        </is>
      </c>
      <c r="D26" s="44">
        <f>D23*(1+C25)</f>
        <v/>
      </c>
      <c r="E26" s="45">
        <f>D26*'Допущения'!$D$7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Пессимистичный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IF(C6&gt;='Допущения'!$C$9,1,0)</f>
        <v/>
      </c>
      <c r="D9" s="11">
        <f>IF(D6&gt;='Допущения'!$C$9,1,0)</f>
        <v/>
      </c>
      <c r="E9" s="11">
        <f>IF(E6&gt;='Допущения'!$C$9,1,0)</f>
        <v/>
      </c>
      <c r="F9" s="11">
        <f>IF(F6&gt;='Допущения'!$C$9,1,0)</f>
        <v/>
      </c>
      <c r="G9" s="11">
        <f>IF(G6&gt;='Допущения'!$C$9,1,0)</f>
        <v/>
      </c>
      <c r="H9" s="11">
        <f>IF(H6&gt;='Допущения'!$C$9,1,0)</f>
        <v/>
      </c>
      <c r="I9" s="11">
        <f>IF(I6&gt;='Допущения'!$C$9,1,0)</f>
        <v/>
      </c>
      <c r="J9" s="11">
        <f>IF(J6&gt;='Допущения'!$C$9,1,0)</f>
        <v/>
      </c>
      <c r="K9" s="11">
        <f>IF(K6&gt;='Допущения'!$C$9,1,0)</f>
        <v/>
      </c>
      <c r="L9" s="11">
        <f>IF(L6&gt;='Допущения'!$C$9,1,0)</f>
        <v/>
      </c>
      <c r="M9" s="11">
        <f>IF(M6&gt;='Допущения'!$C$9,1,0)</f>
        <v/>
      </c>
      <c r="N9" s="11">
        <f>IF(N6&gt;='Допущения'!$C$9,1,0)</f>
        <v/>
      </c>
      <c r="O9" s="11">
        <f>IF(O6&gt;='Допущения'!$C$9,1,0)</f>
        <v/>
      </c>
      <c r="P9" s="11">
        <f>IF(P6&gt;='Допущения'!$C$9,1,0)</f>
        <v/>
      </c>
      <c r="Q9" s="11">
        <f>IF(Q6&gt;='Допущения'!$C$9,1,0)</f>
        <v/>
      </c>
      <c r="R9" s="11">
        <f>IF(R6&gt;='Допущения'!$C$9,1,0)</f>
        <v/>
      </c>
      <c r="S9" s="11">
        <f>IF(S6&gt;='Допущения'!$C$9,1,0)</f>
        <v/>
      </c>
      <c r="T9" s="11">
        <f>IF(T6&gt;='Допущения'!$C$9,1,0)</f>
        <v/>
      </c>
      <c r="U9" s="11">
        <f>IF(U6&gt;='Допущения'!$C$9,1,0)</f>
        <v/>
      </c>
      <c r="V9" s="11">
        <f>IF(V6&gt;='Допущения'!$C$9,1,0)</f>
        <v/>
      </c>
      <c r="W9" s="11">
        <f>IF(W6&gt;='Допущения'!$C$9,1,0)</f>
        <v/>
      </c>
      <c r="X9" s="11">
        <f>IF(X6&gt;='Допущения'!$C$9,1,0)</f>
        <v/>
      </c>
      <c r="Y9" s="11">
        <f>IF(Y6&gt;='Допущения'!$C$9,1,0)</f>
        <v/>
      </c>
      <c r="Z9" s="11">
        <f>IF(Z6&gt;='Допущения'!$C$9,1,0)</f>
        <v/>
      </c>
      <c r="AA9" s="11">
        <f>IF(AA6&gt;='Допущения'!$C$9,1,0)</f>
        <v/>
      </c>
      <c r="AB9" s="11">
        <f>IF(AB6&gt;='Допущения'!$C$9,1,0)</f>
        <v/>
      </c>
      <c r="AC9" s="11">
        <f>IF(AC6&gt;='Допущения'!$C$9,1,0)</f>
        <v/>
      </c>
      <c r="AD9" s="11">
        <f>IF(AD6&gt;='Допущения'!$C$9,1,0)</f>
        <v/>
      </c>
      <c r="AE9" s="11">
        <f>IF(AE6&gt;='Допущения'!$C$9,1,0)</f>
        <v/>
      </c>
      <c r="AF9" s="11">
        <f>IF(AF6&gt;='Допущения'!$C$9,1,0)</f>
        <v/>
      </c>
      <c r="AG9" s="11">
        <f>IF(AG6&gt;='Допущения'!$C$9,1,0)</f>
        <v/>
      </c>
      <c r="AH9" s="11">
        <f>IF(AH6&gt;='Допущения'!$C$9,1,0)</f>
        <v/>
      </c>
      <c r="AI9" s="11">
        <f>IF(AI6&gt;='Допущения'!$C$9,1,0)</f>
        <v/>
      </c>
      <c r="AJ9" s="11">
        <f>IF(AJ6&gt;='Допущения'!$C$9,1,0)</f>
        <v/>
      </c>
      <c r="AK9" s="11">
        <f>IF(AK6&gt;='Допущения'!$C$9,1,0)</f>
        <v/>
      </c>
      <c r="AL9" s="11">
        <f>IF(AL6&gt;='Допущения'!$C$9,1,0)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IF(C9=1,MAX('Допущения'!$C$83,'Допущения'!$C$84*0)+IF(C6='Допущения'!$C$9,'Допущения'!$C$82,0),'Допущения'!$C$81)</f>
        <v/>
      </c>
      <c r="D11" s="21">
        <f>IF(D9=1,MAX('Допущения'!$C$83,'Допущения'!$C$84*C28)+IF(D6='Допущения'!$C$9,'Допущения'!$C$82,0),'Допущения'!$C$81)</f>
        <v/>
      </c>
      <c r="E11" s="21">
        <f>IF(E9=1,MAX('Допущения'!$C$83,'Допущения'!$C$84*D28)+IF(E6='Допущения'!$C$9,'Допущения'!$C$82,0),'Допущения'!$C$81)</f>
        <v/>
      </c>
      <c r="F11" s="21">
        <f>IF(F9=1,MAX('Допущения'!$C$83,'Допущения'!$C$84*E28)+IF(F6='Допущения'!$C$9,'Допущения'!$C$82,0),'Допущения'!$C$81)</f>
        <v/>
      </c>
      <c r="G11" s="21">
        <f>IF(G9=1,MAX('Допущения'!$C$83,'Допущения'!$C$84*F28)+IF(G6='Допущения'!$C$9,'Допущения'!$C$82,0),'Допущения'!$C$81)</f>
        <v/>
      </c>
      <c r="H11" s="21">
        <f>IF(H9=1,MAX('Допущения'!$C$83,'Допущения'!$C$84*G28)+IF(H6='Допущения'!$C$9,'Допущения'!$C$82,0),'Допущения'!$C$81)</f>
        <v/>
      </c>
      <c r="I11" s="21">
        <f>IF(I9=1,MAX('Допущения'!$C$83,'Допущения'!$C$84*H28)+IF(I6='Допущения'!$C$9,'Допущения'!$C$82,0),'Допущения'!$C$81)</f>
        <v/>
      </c>
      <c r="J11" s="21">
        <f>IF(J9=1,MAX('Допущения'!$C$83,'Допущения'!$C$84*I28)+IF(J6='Допущения'!$C$9,'Допущения'!$C$82,0),'Допущения'!$C$81)</f>
        <v/>
      </c>
      <c r="K11" s="21">
        <f>IF(K9=1,MAX('Допущения'!$C$83,'Допущения'!$C$84*J28)+IF(K6='Допущения'!$C$9,'Допущения'!$C$82,0),'Допущения'!$C$81)</f>
        <v/>
      </c>
      <c r="L11" s="21">
        <f>IF(L9=1,MAX('Допущения'!$C$83,'Допущения'!$C$84*K28)+IF(L6='Допущения'!$C$9,'Допущения'!$C$82,0),'Допущения'!$C$81)</f>
        <v/>
      </c>
      <c r="M11" s="21">
        <f>IF(M9=1,MAX('Допущения'!$C$83,'Допущения'!$C$84*L28)+IF(M6='Допущения'!$C$9,'Допущения'!$C$82,0),'Допущения'!$C$81)</f>
        <v/>
      </c>
      <c r="N11" s="21">
        <f>IF(N9=1,MAX('Допущения'!$C$83,'Допущения'!$C$84*M28)+IF(N6='Допущения'!$C$9,'Допущения'!$C$82,0),'Допущения'!$C$81)</f>
        <v/>
      </c>
      <c r="O11" s="21">
        <f>IF(O9=1,MAX('Допущения'!$C$83,'Допущения'!$C$84*N28)+IF(O6='Допущения'!$C$9,'Допущения'!$C$82,0),'Допущения'!$C$81)</f>
        <v/>
      </c>
      <c r="P11" s="21">
        <f>IF(P9=1,MAX('Допущения'!$C$83,'Допущения'!$C$84*O28)+IF(P6='Допущения'!$C$9,'Допущения'!$C$82,0),'Допущения'!$C$81)</f>
        <v/>
      </c>
      <c r="Q11" s="21">
        <f>IF(Q9=1,MAX('Допущения'!$C$83,'Допущения'!$C$84*P28)+IF(Q6='Допущения'!$C$9,'Допущения'!$C$82,0),'Допущения'!$C$81)</f>
        <v/>
      </c>
      <c r="R11" s="21">
        <f>IF(R9=1,MAX('Допущения'!$C$83,'Допущения'!$C$84*Q28)+IF(R6='Допущения'!$C$9,'Допущения'!$C$82,0),'Допущения'!$C$81)</f>
        <v/>
      </c>
      <c r="S11" s="21">
        <f>IF(S9=1,MAX('Допущения'!$C$83,'Допущения'!$C$84*R28)+IF(S6='Допущения'!$C$9,'Допущения'!$C$82,0),'Допущения'!$C$81)</f>
        <v/>
      </c>
      <c r="T11" s="21">
        <f>IF(T9=1,MAX('Допущения'!$C$83,'Допущения'!$C$84*S28)+IF(T6='Допущения'!$C$9,'Допущения'!$C$82,0),'Допущения'!$C$81)</f>
        <v/>
      </c>
      <c r="U11" s="21">
        <f>IF(U9=1,MAX('Допущения'!$C$83,'Допущения'!$C$84*T28)+IF(U6='Допущения'!$C$9,'Допущения'!$C$82,0),'Допущения'!$C$81)</f>
        <v/>
      </c>
      <c r="V11" s="21">
        <f>IF(V9=1,MAX('Допущения'!$C$83,'Допущения'!$C$84*U28)+IF(V6='Допущения'!$C$9,'Допущения'!$C$82,0),'Допущения'!$C$81)</f>
        <v/>
      </c>
      <c r="W11" s="21">
        <f>IF(W9=1,MAX('Допущения'!$C$83,'Допущения'!$C$84*V28)+IF(W6='Допущения'!$C$9,'Допущения'!$C$82,0),'Допущения'!$C$81)</f>
        <v/>
      </c>
      <c r="X11" s="21">
        <f>IF(X9=1,MAX('Допущения'!$C$83,'Допущения'!$C$84*W28)+IF(X6='Допущения'!$C$9,'Допущения'!$C$82,0),'Допущения'!$C$81)</f>
        <v/>
      </c>
      <c r="Y11" s="21">
        <f>IF(Y9=1,MAX('Допущения'!$C$83,'Допущения'!$C$84*X28)+IF(Y6='Допущения'!$C$9,'Допущения'!$C$82,0),'Допущения'!$C$81)</f>
        <v/>
      </c>
      <c r="Z11" s="21">
        <f>IF(Z9=1,MAX('Допущения'!$C$83,'Допущения'!$C$84*Y28)+IF(Z6='Допущения'!$C$9,'Допущения'!$C$82,0),'Допущения'!$C$81)</f>
        <v/>
      </c>
      <c r="AA11" s="21">
        <f>IF(AA9=1,MAX('Допущения'!$C$83,'Допущения'!$C$84*Z28)+IF(AA6='Допущения'!$C$9,'Допущения'!$C$82,0),'Допущения'!$C$81)</f>
        <v/>
      </c>
      <c r="AB11" s="21">
        <f>IF(AB9=1,MAX('Допущения'!$C$83,'Допущения'!$C$84*AA28)+IF(AB6='Допущения'!$C$9,'Допущения'!$C$82,0),'Допущения'!$C$81)</f>
        <v/>
      </c>
      <c r="AC11" s="21">
        <f>IF(AC9=1,MAX('Допущения'!$C$83,'Допущения'!$C$84*AB28)+IF(AC6='Допущения'!$C$9,'Допущения'!$C$82,0),'Допущения'!$C$81)</f>
        <v/>
      </c>
      <c r="AD11" s="21">
        <f>IF(AD9=1,MAX('Допущения'!$C$83,'Допущения'!$C$84*AC28)+IF(AD6='Допущения'!$C$9,'Допущения'!$C$82,0),'Допущения'!$C$81)</f>
        <v/>
      </c>
      <c r="AE11" s="21">
        <f>IF(AE9=1,MAX('Допущения'!$C$83,'Допущения'!$C$84*AD28)+IF(AE6='Допущения'!$C$9,'Допущения'!$C$82,0),'Допущения'!$C$81)</f>
        <v/>
      </c>
      <c r="AF11" s="21">
        <f>IF(AF9=1,MAX('Допущения'!$C$83,'Допущения'!$C$84*AE28)+IF(AF6='Допущения'!$C$9,'Допущения'!$C$82,0),'Допущения'!$C$81)</f>
        <v/>
      </c>
      <c r="AG11" s="21">
        <f>IF(AG9=1,MAX('Допущения'!$C$83,'Допущения'!$C$84*AF28)+IF(AG6='Допущения'!$C$9,'Допущения'!$C$82,0),'Допущения'!$C$81)</f>
        <v/>
      </c>
      <c r="AH11" s="21">
        <f>IF(AH9=1,MAX('Допущения'!$C$83,'Допущения'!$C$84*AG28)+IF(AH6='Допущения'!$C$9,'Допущения'!$C$82,0),'Допущения'!$C$81)</f>
        <v/>
      </c>
      <c r="AI11" s="21">
        <f>IF(AI9=1,MAX('Допущения'!$C$83,'Допущения'!$C$84*AH28)+IF(AI6='Допущения'!$C$9,'Допущения'!$C$82,0),'Допущения'!$C$81)</f>
        <v/>
      </c>
      <c r="AJ11" s="21">
        <f>IF(AJ9=1,MAX('Допущения'!$C$83,'Допущения'!$C$84*AI28)+IF(AJ6='Допущения'!$C$9,'Допущения'!$C$82,0),'Допущения'!$C$81)</f>
        <v/>
      </c>
      <c r="AK11" s="21">
        <f>IF(AK9=1,MAX('Допущения'!$C$83,'Допущения'!$C$84*AJ28)+IF(AK6='Допущения'!$C$9,'Допущения'!$C$82,0),'Допущения'!$C$81)</f>
        <v/>
      </c>
      <c r="AL11" s="21">
        <f>IF(AL9=1,MAX('Допущения'!$C$83,'Допущения'!$C$84*AK28)+IF(AL6='Допущения'!$C$9,'Допущения'!$C$82,0),'Допущения'!$C$81)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IF(C9=1,C11/'Допущения'!$C$60,0)</f>
        <v/>
      </c>
      <c r="D12" s="14">
        <f>IF(D9=1,D11/'Допущения'!$C$60,0)</f>
        <v/>
      </c>
      <c r="E12" s="14">
        <f>IF(E9=1,E11/'Допущения'!$C$60,0)</f>
        <v/>
      </c>
      <c r="F12" s="14">
        <f>IF(F9=1,F11/'Допущения'!$C$60,0)</f>
        <v/>
      </c>
      <c r="G12" s="14">
        <f>IF(G9=1,G11/'Допущения'!$C$60,0)</f>
        <v/>
      </c>
      <c r="H12" s="14">
        <f>IF(H9=1,H11/'Допущения'!$C$60,0)</f>
        <v/>
      </c>
      <c r="I12" s="14">
        <f>IF(I9=1,I11/'Допущения'!$C$60,0)</f>
        <v/>
      </c>
      <c r="J12" s="14">
        <f>IF(J9=1,J11/'Допущения'!$C$60,0)</f>
        <v/>
      </c>
      <c r="K12" s="14">
        <f>IF(K9=1,K11/'Допущения'!$C$60,0)</f>
        <v/>
      </c>
      <c r="L12" s="14">
        <f>IF(L9=1,L11/'Допущения'!$C$60,0)</f>
        <v/>
      </c>
      <c r="M12" s="14">
        <f>IF(M9=1,M11/'Допущения'!$C$60,0)</f>
        <v/>
      </c>
      <c r="N12" s="14">
        <f>IF(N9=1,N11/'Допущения'!$C$60,0)</f>
        <v/>
      </c>
      <c r="O12" s="14">
        <f>IF(O9=1,O11/'Допущения'!$C$60,0)</f>
        <v/>
      </c>
      <c r="P12" s="14">
        <f>IF(P9=1,P11/'Допущения'!$C$60,0)</f>
        <v/>
      </c>
      <c r="Q12" s="14">
        <f>IF(Q9=1,Q11/'Допущения'!$C$60,0)</f>
        <v/>
      </c>
      <c r="R12" s="14">
        <f>IF(R9=1,R11/'Допущения'!$C$60,0)</f>
        <v/>
      </c>
      <c r="S12" s="14">
        <f>IF(S9=1,S11/'Допущения'!$C$60,0)</f>
        <v/>
      </c>
      <c r="T12" s="14">
        <f>IF(T9=1,T11/'Допущения'!$C$60,0)</f>
        <v/>
      </c>
      <c r="U12" s="14">
        <f>IF(U9=1,U11/'Допущения'!$C$60,0)</f>
        <v/>
      </c>
      <c r="V12" s="14">
        <f>IF(V9=1,V11/'Допущения'!$C$60,0)</f>
        <v/>
      </c>
      <c r="W12" s="14">
        <f>IF(W9=1,W11/'Допущения'!$C$60,0)</f>
        <v/>
      </c>
      <c r="X12" s="14">
        <f>IF(X9=1,X11/'Допущения'!$C$60,0)</f>
        <v/>
      </c>
      <c r="Y12" s="14">
        <f>IF(Y9=1,Y11/'Допущения'!$C$60,0)</f>
        <v/>
      </c>
      <c r="Z12" s="14">
        <f>IF(Z9=1,Z11/'Допущения'!$C$60,0)</f>
        <v/>
      </c>
      <c r="AA12" s="14">
        <f>IF(AA9=1,AA11/'Допущения'!$C$60,0)</f>
        <v/>
      </c>
      <c r="AB12" s="14">
        <f>IF(AB9=1,AB11/'Допущения'!$C$60,0)</f>
        <v/>
      </c>
      <c r="AC12" s="14">
        <f>IF(AC9=1,AC11/'Допущения'!$C$60,0)</f>
        <v/>
      </c>
      <c r="AD12" s="14">
        <f>IF(AD9=1,AD11/'Допущения'!$C$60,0)</f>
        <v/>
      </c>
      <c r="AE12" s="14">
        <f>IF(AE9=1,AE11/'Допущения'!$C$60,0)</f>
        <v/>
      </c>
      <c r="AF12" s="14">
        <f>IF(AF9=1,AF11/'Допущения'!$C$60,0)</f>
        <v/>
      </c>
      <c r="AG12" s="14">
        <f>IF(AG9=1,AG11/'Допущения'!$C$60,0)</f>
        <v/>
      </c>
      <c r="AH12" s="14">
        <f>IF(AH9=1,AH11/'Допущения'!$C$60,0)</f>
        <v/>
      </c>
      <c r="AI12" s="14">
        <f>IF(AI9=1,AI11/'Допущения'!$C$60,0)</f>
        <v/>
      </c>
      <c r="AJ12" s="14">
        <f>IF(AJ9=1,AJ11/'Допущения'!$C$60,0)</f>
        <v/>
      </c>
      <c r="AK12" s="14">
        <f>IF(AK9=1,AK11/'Допущения'!$C$60,0)</f>
        <v/>
      </c>
      <c r="AL12" s="14">
        <f>IF(AL9=1,AL11/'Допущения'!$C$60,0)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IF(C9=1,MIN('Допущения'!$C$63,'Допущения'!$C$61*(1+'Допущения'!$C$62)^(C6-'Допущения'!$C$9)),0)</f>
        <v/>
      </c>
      <c r="D13" s="14">
        <f>IF(D9=1,MIN('Допущения'!$C$63,'Допущения'!$C$61*(1+'Допущения'!$C$62)^(D6-'Допущения'!$C$9)),0)</f>
        <v/>
      </c>
      <c r="E13" s="14">
        <f>IF(E9=1,MIN('Допущения'!$C$63,'Допущения'!$C$61*(1+'Допущения'!$C$62)^(E6-'Допущения'!$C$9)),0)</f>
        <v/>
      </c>
      <c r="F13" s="14">
        <f>IF(F9=1,MIN('Допущения'!$C$63,'Допущения'!$C$61*(1+'Допущения'!$C$62)^(F6-'Допущения'!$C$9)),0)</f>
        <v/>
      </c>
      <c r="G13" s="14">
        <f>IF(G9=1,MIN('Допущения'!$C$63,'Допущения'!$C$61*(1+'Допущения'!$C$62)^(G6-'Допущения'!$C$9)),0)</f>
        <v/>
      </c>
      <c r="H13" s="14">
        <f>IF(H9=1,MIN('Допущения'!$C$63,'Допущения'!$C$61*(1+'Допущения'!$C$62)^(H6-'Допущения'!$C$9)),0)</f>
        <v/>
      </c>
      <c r="I13" s="14">
        <f>IF(I9=1,MIN('Допущения'!$C$63,'Допущения'!$C$61*(1+'Допущения'!$C$62)^(I6-'Допущения'!$C$9)),0)</f>
        <v/>
      </c>
      <c r="J13" s="14">
        <f>IF(J9=1,MIN('Допущения'!$C$63,'Допущения'!$C$61*(1+'Допущения'!$C$62)^(J6-'Допущения'!$C$9)),0)</f>
        <v/>
      </c>
      <c r="K13" s="14">
        <f>IF(K9=1,MIN('Допущения'!$C$63,'Допущения'!$C$61*(1+'Допущения'!$C$62)^(K6-'Допущения'!$C$9)),0)</f>
        <v/>
      </c>
      <c r="L13" s="14">
        <f>IF(L9=1,MIN('Допущения'!$C$63,'Допущения'!$C$61*(1+'Допущения'!$C$62)^(L6-'Допущения'!$C$9)),0)</f>
        <v/>
      </c>
      <c r="M13" s="14">
        <f>IF(M9=1,MIN('Допущения'!$C$63,'Допущения'!$C$61*(1+'Допущения'!$C$62)^(M6-'Допущения'!$C$9)),0)</f>
        <v/>
      </c>
      <c r="N13" s="14">
        <f>IF(N9=1,MIN('Допущения'!$C$63,'Допущения'!$C$61*(1+'Допущения'!$C$62)^(N6-'Допущения'!$C$9)),0)</f>
        <v/>
      </c>
      <c r="O13" s="14">
        <f>IF(O9=1,MIN('Допущения'!$C$63,'Допущения'!$C$61*(1+'Допущения'!$C$62)^(O6-'Допущения'!$C$9)),0)</f>
        <v/>
      </c>
      <c r="P13" s="14">
        <f>IF(P9=1,MIN('Допущения'!$C$63,'Допущения'!$C$61*(1+'Допущения'!$C$62)^(P6-'Допущения'!$C$9)),0)</f>
        <v/>
      </c>
      <c r="Q13" s="14">
        <f>IF(Q9=1,MIN('Допущения'!$C$63,'Допущения'!$C$61*(1+'Допущения'!$C$62)^(Q6-'Допущения'!$C$9)),0)</f>
        <v/>
      </c>
      <c r="R13" s="14">
        <f>IF(R9=1,MIN('Допущения'!$C$63,'Допущения'!$C$61*(1+'Допущения'!$C$62)^(R6-'Допущения'!$C$9)),0)</f>
        <v/>
      </c>
      <c r="S13" s="14">
        <f>IF(S9=1,MIN('Допущения'!$C$63,'Допущения'!$C$61*(1+'Допущения'!$C$62)^(S6-'Допущения'!$C$9)),0)</f>
        <v/>
      </c>
      <c r="T13" s="14">
        <f>IF(T9=1,MIN('Допущения'!$C$63,'Допущения'!$C$61*(1+'Допущения'!$C$62)^(T6-'Допущения'!$C$9)),0)</f>
        <v/>
      </c>
      <c r="U13" s="14">
        <f>IF(U9=1,MIN('Допущения'!$C$63,'Допущения'!$C$61*(1+'Допущения'!$C$62)^(U6-'Допущения'!$C$9)),0)</f>
        <v/>
      </c>
      <c r="V13" s="14">
        <f>IF(V9=1,MIN('Допущения'!$C$63,'Допущения'!$C$61*(1+'Допущения'!$C$62)^(V6-'Допущения'!$C$9)),0)</f>
        <v/>
      </c>
      <c r="W13" s="14">
        <f>IF(W9=1,MIN('Допущения'!$C$63,'Допущения'!$C$61*(1+'Допущения'!$C$62)^(W6-'Допущения'!$C$9)),0)</f>
        <v/>
      </c>
      <c r="X13" s="14">
        <f>IF(X9=1,MIN('Допущения'!$C$63,'Допущения'!$C$61*(1+'Допущения'!$C$62)^(X6-'Допущения'!$C$9)),0)</f>
        <v/>
      </c>
      <c r="Y13" s="14">
        <f>IF(Y9=1,MIN('Допущения'!$C$63,'Допущения'!$C$61*(1+'Допущения'!$C$62)^(Y6-'Допущения'!$C$9)),0)</f>
        <v/>
      </c>
      <c r="Z13" s="14">
        <f>IF(Z9=1,MIN('Допущения'!$C$63,'Допущения'!$C$61*(1+'Допущения'!$C$62)^(Z6-'Допущения'!$C$9)),0)</f>
        <v/>
      </c>
      <c r="AA13" s="14">
        <f>IF(AA9=1,MIN('Допущения'!$C$63,'Допущения'!$C$61*(1+'Допущения'!$C$62)^(AA6-'Допущения'!$C$9)),0)</f>
        <v/>
      </c>
      <c r="AB13" s="14">
        <f>IF(AB9=1,MIN('Допущения'!$C$63,'Допущения'!$C$61*(1+'Допущения'!$C$62)^(AB6-'Допущения'!$C$9)),0)</f>
        <v/>
      </c>
      <c r="AC13" s="14">
        <f>IF(AC9=1,MIN('Допущения'!$C$63,'Допущения'!$C$61*(1+'Допущения'!$C$62)^(AC6-'Допущения'!$C$9)),0)</f>
        <v/>
      </c>
      <c r="AD13" s="14">
        <f>IF(AD9=1,MIN('Допущения'!$C$63,'Допущения'!$C$61*(1+'Допущения'!$C$62)^(AD6-'Допущения'!$C$9)),0)</f>
        <v/>
      </c>
      <c r="AE13" s="14">
        <f>IF(AE9=1,MIN('Допущения'!$C$63,'Допущения'!$C$61*(1+'Допущения'!$C$62)^(AE6-'Допущения'!$C$9)),0)</f>
        <v/>
      </c>
      <c r="AF13" s="14">
        <f>IF(AF9=1,MIN('Допущения'!$C$63,'Допущения'!$C$61*(1+'Допущения'!$C$62)^(AF6-'Допущения'!$C$9)),0)</f>
        <v/>
      </c>
      <c r="AG13" s="14">
        <f>IF(AG9=1,MIN('Допущения'!$C$63,'Допущения'!$C$61*(1+'Допущения'!$C$62)^(AG6-'Допущения'!$C$9)),0)</f>
        <v/>
      </c>
      <c r="AH13" s="14">
        <f>IF(AH9=1,MIN('Допущения'!$C$63,'Допущения'!$C$61*(1+'Допущения'!$C$62)^(AH6-'Допущения'!$C$9)),0)</f>
        <v/>
      </c>
      <c r="AI13" s="14">
        <f>IF(AI9=1,MIN('Допущения'!$C$63,'Допущения'!$C$61*(1+'Допущения'!$C$62)^(AI6-'Допущения'!$C$9)),0)</f>
        <v/>
      </c>
      <c r="AJ13" s="14">
        <f>IF(AJ9=1,MIN('Допущения'!$C$63,'Допущения'!$C$61*(1+'Допущения'!$C$62)^(AJ6-'Допущения'!$C$9)),0)</f>
        <v/>
      </c>
      <c r="AK13" s="14">
        <f>IF(AK9=1,MIN('Допущения'!$C$63,'Допущения'!$C$61*(1+'Допущения'!$C$62)^(AK6-'Допущения'!$C$9)),0)</f>
        <v/>
      </c>
      <c r="AL13" s="14">
        <f>IF(AL9=1,MIN('Допущения'!$C$63,'Допущения'!$C$61*(1+'Допущения'!$C$62)^(AL6-'Допущения'!$C$9)),0)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(C12+C13)*'Допущения'!$C$64</f>
        <v/>
      </c>
      <c r="D14" s="14">
        <f>(D12+D13)*'Допущения'!$C$64</f>
        <v/>
      </c>
      <c r="E14" s="14">
        <f>(E12+E13)*'Допущения'!$C$64</f>
        <v/>
      </c>
      <c r="F14" s="14">
        <f>(F12+F13)*'Допущения'!$C$64</f>
        <v/>
      </c>
      <c r="G14" s="14">
        <f>(G12+G13)*'Допущения'!$C$64</f>
        <v/>
      </c>
      <c r="H14" s="14">
        <f>(H12+H13)*'Допущения'!$C$64</f>
        <v/>
      </c>
      <c r="I14" s="14">
        <f>(I12+I13)*'Допущения'!$C$64</f>
        <v/>
      </c>
      <c r="J14" s="14">
        <f>(J12+J13)*'Допущения'!$C$64</f>
        <v/>
      </c>
      <c r="K14" s="14">
        <f>(K12+K13)*'Допущения'!$C$64</f>
        <v/>
      </c>
      <c r="L14" s="14">
        <f>(L12+L13)*'Допущения'!$C$64</f>
        <v/>
      </c>
      <c r="M14" s="14">
        <f>(M12+M13)*'Допущения'!$C$64</f>
        <v/>
      </c>
      <c r="N14" s="14">
        <f>(N12+N13)*'Допущения'!$C$64</f>
        <v/>
      </c>
      <c r="O14" s="14">
        <f>(O12+O13)*'Допущения'!$C$64</f>
        <v/>
      </c>
      <c r="P14" s="14">
        <f>(P12+P13)*'Допущения'!$C$64</f>
        <v/>
      </c>
      <c r="Q14" s="14">
        <f>(Q12+Q13)*'Допущения'!$C$64</f>
        <v/>
      </c>
      <c r="R14" s="14">
        <f>(R12+R13)*'Допущения'!$C$64</f>
        <v/>
      </c>
      <c r="S14" s="14">
        <f>(S12+S13)*'Допущения'!$C$64</f>
        <v/>
      </c>
      <c r="T14" s="14">
        <f>(T12+T13)*'Допущения'!$C$64</f>
        <v/>
      </c>
      <c r="U14" s="14">
        <f>(U12+U13)*'Допущения'!$C$64</f>
        <v/>
      </c>
      <c r="V14" s="14">
        <f>(V12+V13)*'Допущения'!$C$64</f>
        <v/>
      </c>
      <c r="W14" s="14">
        <f>(W12+W13)*'Допущения'!$C$64</f>
        <v/>
      </c>
      <c r="X14" s="14">
        <f>(X12+X13)*'Допущения'!$C$64</f>
        <v/>
      </c>
      <c r="Y14" s="14">
        <f>(Y12+Y13)*'Допущения'!$C$64</f>
        <v/>
      </c>
      <c r="Z14" s="14">
        <f>(Z12+Z13)*'Допущения'!$C$64</f>
        <v/>
      </c>
      <c r="AA14" s="14">
        <f>(AA12+AA13)*'Допущения'!$C$64</f>
        <v/>
      </c>
      <c r="AB14" s="14">
        <f>(AB12+AB13)*'Допущения'!$C$64</f>
        <v/>
      </c>
      <c r="AC14" s="14">
        <f>(AC12+AC13)*'Допущения'!$C$64</f>
        <v/>
      </c>
      <c r="AD14" s="14">
        <f>(AD12+AD13)*'Допущения'!$C$64</f>
        <v/>
      </c>
      <c r="AE14" s="14">
        <f>(AE12+AE13)*'Допущения'!$C$64</f>
        <v/>
      </c>
      <c r="AF14" s="14">
        <f>(AF12+AF13)*'Допущения'!$C$64</f>
        <v/>
      </c>
      <c r="AG14" s="14">
        <f>(AG12+AG13)*'Допущения'!$C$64</f>
        <v/>
      </c>
      <c r="AH14" s="14">
        <f>(AH12+AH13)*'Допущения'!$C$64</f>
        <v/>
      </c>
      <c r="AI14" s="14">
        <f>(AI12+AI13)*'Допущения'!$C$64</f>
        <v/>
      </c>
      <c r="AJ14" s="14">
        <f>(AJ12+AJ13)*'Допущения'!$C$64</f>
        <v/>
      </c>
      <c r="AK14" s="14">
        <f>(AK12+AK13)*'Допущения'!$C$64</f>
        <v/>
      </c>
      <c r="AL14" s="14">
        <f>(AL12+AL13)*'Допущения'!$C$64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C15*'Допущения'!$C$65+IF(C6='Допущения'!$C$9,0*'Допущения'!$C$78,0)</f>
        <v/>
      </c>
      <c r="D16" s="14">
        <f>D15*'Допущения'!$C$65+IF(D6='Допущения'!$C$9,C17*'Допущения'!$C$78,0)</f>
        <v/>
      </c>
      <c r="E16" s="14">
        <f>E15*'Допущения'!$C$65+IF(E6='Допущения'!$C$9,D17*'Допущения'!$C$78,0)</f>
        <v/>
      </c>
      <c r="F16" s="14">
        <f>F15*'Допущения'!$C$65+IF(F6='Допущения'!$C$9,E17*'Допущения'!$C$78,0)</f>
        <v/>
      </c>
      <c r="G16" s="14">
        <f>G15*'Допущения'!$C$65+IF(G6='Допущения'!$C$9,F17*'Допущения'!$C$78,0)</f>
        <v/>
      </c>
      <c r="H16" s="14">
        <f>H15*'Допущения'!$C$65+IF(H6='Допущения'!$C$9,G17*'Допущения'!$C$78,0)</f>
        <v/>
      </c>
      <c r="I16" s="14">
        <f>I15*'Допущения'!$C$65+IF(I6='Допущения'!$C$9,H17*'Допущения'!$C$78,0)</f>
        <v/>
      </c>
      <c r="J16" s="14">
        <f>J15*'Допущения'!$C$65+IF(J6='Допущения'!$C$9,I17*'Допущения'!$C$78,0)</f>
        <v/>
      </c>
      <c r="K16" s="14">
        <f>K15*'Допущения'!$C$65+IF(K6='Допущения'!$C$9,J17*'Допущения'!$C$78,0)</f>
        <v/>
      </c>
      <c r="L16" s="14">
        <f>L15*'Допущения'!$C$65+IF(L6='Допущения'!$C$9,K17*'Допущения'!$C$78,0)</f>
        <v/>
      </c>
      <c r="M16" s="14">
        <f>M15*'Допущения'!$C$65+IF(M6='Допущения'!$C$9,L17*'Допущения'!$C$78,0)</f>
        <v/>
      </c>
      <c r="N16" s="14">
        <f>N15*'Допущения'!$C$65+IF(N6='Допущения'!$C$9,M17*'Допущения'!$C$78,0)</f>
        <v/>
      </c>
      <c r="O16" s="14">
        <f>O15*'Допущения'!$C$65+IF(O6='Допущения'!$C$9,N17*'Допущения'!$C$78,0)</f>
        <v/>
      </c>
      <c r="P16" s="14">
        <f>P15*'Допущения'!$C$65+IF(P6='Допущения'!$C$9,O17*'Допущения'!$C$78,0)</f>
        <v/>
      </c>
      <c r="Q16" s="14">
        <f>Q15*'Допущения'!$C$65+IF(Q6='Допущения'!$C$9,P17*'Допущения'!$C$78,0)</f>
        <v/>
      </c>
      <c r="R16" s="14">
        <f>R15*'Допущения'!$C$65+IF(R6='Допущения'!$C$9,Q17*'Допущения'!$C$78,0)</f>
        <v/>
      </c>
      <c r="S16" s="14">
        <f>S15*'Допущения'!$C$65+IF(S6='Допущения'!$C$9,R17*'Допущения'!$C$78,0)</f>
        <v/>
      </c>
      <c r="T16" s="14">
        <f>T15*'Допущения'!$C$65+IF(T6='Допущения'!$C$9,S17*'Допущения'!$C$78,0)</f>
        <v/>
      </c>
      <c r="U16" s="14">
        <f>U15*'Допущения'!$C$65+IF(U6='Допущения'!$C$9,T17*'Допущения'!$C$78,0)</f>
        <v/>
      </c>
      <c r="V16" s="14">
        <f>V15*'Допущения'!$C$65+IF(V6='Допущения'!$C$9,U17*'Допущения'!$C$78,0)</f>
        <v/>
      </c>
      <c r="W16" s="14">
        <f>W15*'Допущения'!$C$65+IF(W6='Допущения'!$C$9,V17*'Допущения'!$C$78,0)</f>
        <v/>
      </c>
      <c r="X16" s="14">
        <f>X15*'Допущения'!$C$65+IF(X6='Допущения'!$C$9,W17*'Допущения'!$C$78,0)</f>
        <v/>
      </c>
      <c r="Y16" s="14">
        <f>Y15*'Допущения'!$C$65+IF(Y6='Допущения'!$C$9,X17*'Допущения'!$C$78,0)</f>
        <v/>
      </c>
      <c r="Z16" s="14">
        <f>Z15*'Допущения'!$C$65+IF(Z6='Допущения'!$C$9,Y17*'Допущения'!$C$78,0)</f>
        <v/>
      </c>
      <c r="AA16" s="14">
        <f>AA15*'Допущения'!$C$65+IF(AA6='Допущения'!$C$9,Z17*'Допущения'!$C$78,0)</f>
        <v/>
      </c>
      <c r="AB16" s="14">
        <f>AB15*'Допущения'!$C$65+IF(AB6='Допущения'!$C$9,AA17*'Допущения'!$C$78,0)</f>
        <v/>
      </c>
      <c r="AC16" s="14">
        <f>AC15*'Допущения'!$C$65+IF(AC6='Допущения'!$C$9,AB17*'Допущения'!$C$78,0)</f>
        <v/>
      </c>
      <c r="AD16" s="14">
        <f>AD15*'Допущения'!$C$65+IF(AD6='Допущения'!$C$9,AC17*'Допущения'!$C$78,0)</f>
        <v/>
      </c>
      <c r="AE16" s="14">
        <f>AE15*'Допущения'!$C$65+IF(AE6='Допущения'!$C$9,AD17*'Допущения'!$C$78,0)</f>
        <v/>
      </c>
      <c r="AF16" s="14">
        <f>AF15*'Допущения'!$C$65+IF(AF6='Допущения'!$C$9,AE17*'Допущения'!$C$78,0)</f>
        <v/>
      </c>
      <c r="AG16" s="14">
        <f>AG15*'Допущения'!$C$65+IF(AG6='Допущения'!$C$9,AF17*'Допущения'!$C$78,0)</f>
        <v/>
      </c>
      <c r="AH16" s="14">
        <f>AH15*'Допущения'!$C$65+IF(AH6='Допущения'!$C$9,AG17*'Допущения'!$C$78,0)</f>
        <v/>
      </c>
      <c r="AI16" s="14">
        <f>AI15*'Допущения'!$C$65+IF(AI6='Допущения'!$C$9,AH17*'Допущения'!$C$78,0)</f>
        <v/>
      </c>
      <c r="AJ16" s="14">
        <f>AJ15*'Допущения'!$C$65+IF(AJ6='Допущения'!$C$9,AI17*'Допущения'!$C$78,0)</f>
        <v/>
      </c>
      <c r="AK16" s="14">
        <f>AK15*'Допущения'!$C$65+IF(AK6='Допущения'!$C$9,AJ17*'Допущения'!$C$78,0)</f>
        <v/>
      </c>
      <c r="AL16" s="14">
        <f>AL15*'Допущения'!$C$65+IF(AL6='Допущения'!$C$9,AK17*'Допущения'!$C$78,0)</f>
        <v/>
      </c>
    </row>
    <row r="17">
      <c r="A17" s="6" t="inlineStr">
        <is>
          <t>Игроки прототипа (до выхода)</t>
        </is>
      </c>
      <c r="C17" s="14">
        <f>IF(C9=1,0,'Допущения'!$C$72*(1+'Допущения'!$C$73)^(C6-1))</f>
        <v/>
      </c>
      <c r="D17" s="14">
        <f>IF(D9=1,0,'Допущения'!$C$72*(1+'Допущения'!$C$73)^(D6-1))</f>
        <v/>
      </c>
      <c r="E17" s="14">
        <f>IF(E9=1,0,'Допущения'!$C$72*(1+'Допущения'!$C$73)^(E6-1))</f>
        <v/>
      </c>
      <c r="F17" s="14">
        <f>IF(F9=1,0,'Допущения'!$C$72*(1+'Допущения'!$C$73)^(F6-1))</f>
        <v/>
      </c>
      <c r="G17" s="14">
        <f>IF(G9=1,0,'Допущения'!$C$72*(1+'Допущения'!$C$73)^(G6-1))</f>
        <v/>
      </c>
      <c r="H17" s="14">
        <f>IF(H9=1,0,'Допущения'!$C$72*(1+'Допущения'!$C$73)^(H6-1))</f>
        <v/>
      </c>
      <c r="I17" s="14">
        <f>IF(I9=1,0,'Допущения'!$C$72*(1+'Допущения'!$C$73)^(I6-1))</f>
        <v/>
      </c>
      <c r="J17" s="14">
        <f>IF(J9=1,0,'Допущения'!$C$72*(1+'Допущения'!$C$73)^(J6-1))</f>
        <v/>
      </c>
      <c r="K17" s="14">
        <f>IF(K9=1,0,'Допущения'!$C$72*(1+'Допущения'!$C$73)^(K6-1))</f>
        <v/>
      </c>
      <c r="L17" s="14">
        <f>IF(L9=1,0,'Допущения'!$C$72*(1+'Допущения'!$C$73)^(L6-1))</f>
        <v/>
      </c>
      <c r="M17" s="14">
        <f>IF(M9=1,0,'Допущения'!$C$72*(1+'Допущения'!$C$73)^(M6-1))</f>
        <v/>
      </c>
      <c r="N17" s="14">
        <f>IF(N9=1,0,'Допущения'!$C$72*(1+'Допущения'!$C$73)^(N6-1))</f>
        <v/>
      </c>
      <c r="O17" s="14">
        <f>IF(O9=1,0,'Допущения'!$C$72*(1+'Допущения'!$C$73)^(O6-1))</f>
        <v/>
      </c>
      <c r="P17" s="14">
        <f>IF(P9=1,0,'Допущения'!$C$72*(1+'Допущения'!$C$73)^(P6-1))</f>
        <v/>
      </c>
      <c r="Q17" s="14">
        <f>IF(Q9=1,0,'Допущения'!$C$72*(1+'Допущения'!$C$73)^(Q6-1))</f>
        <v/>
      </c>
      <c r="R17" s="14">
        <f>IF(R9=1,0,'Допущения'!$C$72*(1+'Допущения'!$C$73)^(R6-1))</f>
        <v/>
      </c>
      <c r="S17" s="14">
        <f>IF(S9=1,0,'Допущения'!$C$72*(1+'Допущения'!$C$73)^(S6-1))</f>
        <v/>
      </c>
      <c r="T17" s="14">
        <f>IF(T9=1,0,'Допущения'!$C$72*(1+'Допущения'!$C$73)^(T6-1))</f>
        <v/>
      </c>
      <c r="U17" s="14">
        <f>IF(U9=1,0,'Допущения'!$C$72*(1+'Допущения'!$C$73)^(U6-1))</f>
        <v/>
      </c>
      <c r="V17" s="14">
        <f>IF(V9=1,0,'Допущения'!$C$72*(1+'Допущения'!$C$73)^(V6-1))</f>
        <v/>
      </c>
      <c r="W17" s="14">
        <f>IF(W9=1,0,'Допущения'!$C$72*(1+'Допущения'!$C$73)^(W6-1))</f>
        <v/>
      </c>
      <c r="X17" s="14">
        <f>IF(X9=1,0,'Допущения'!$C$72*(1+'Допущения'!$C$73)^(X6-1))</f>
        <v/>
      </c>
      <c r="Y17" s="14">
        <f>IF(Y9=1,0,'Допущения'!$C$72*(1+'Допущения'!$C$73)^(Y6-1))</f>
        <v/>
      </c>
      <c r="Z17" s="14">
        <f>IF(Z9=1,0,'Допущения'!$C$72*(1+'Допущения'!$C$73)^(Z6-1))</f>
        <v/>
      </c>
      <c r="AA17" s="14">
        <f>IF(AA9=1,0,'Допущения'!$C$72*(1+'Допущения'!$C$73)^(AA6-1))</f>
        <v/>
      </c>
      <c r="AB17" s="14">
        <f>IF(AB9=1,0,'Допущения'!$C$72*(1+'Допущения'!$C$73)^(AB6-1))</f>
        <v/>
      </c>
      <c r="AC17" s="14">
        <f>IF(AC9=1,0,'Допущения'!$C$72*(1+'Допущения'!$C$73)^(AC6-1))</f>
        <v/>
      </c>
      <c r="AD17" s="14">
        <f>IF(AD9=1,0,'Допущения'!$C$72*(1+'Допущения'!$C$73)^(AD6-1))</f>
        <v/>
      </c>
      <c r="AE17" s="14">
        <f>IF(AE9=1,0,'Допущения'!$C$72*(1+'Допущения'!$C$73)^(AE6-1))</f>
        <v/>
      </c>
      <c r="AF17" s="14">
        <f>IF(AF9=1,0,'Допущения'!$C$72*(1+'Допущения'!$C$73)^(AF6-1))</f>
        <v/>
      </c>
      <c r="AG17" s="14">
        <f>IF(AG9=1,0,'Допущения'!$C$72*(1+'Допущения'!$C$73)^(AG6-1))</f>
        <v/>
      </c>
      <c r="AH17" s="14">
        <f>IF(AH9=1,0,'Допущения'!$C$72*(1+'Допущения'!$C$73)^(AH6-1))</f>
        <v/>
      </c>
      <c r="AI17" s="14">
        <f>IF(AI9=1,0,'Допущения'!$C$72*(1+'Допущения'!$C$73)^(AI6-1))</f>
        <v/>
      </c>
      <c r="AJ17" s="14">
        <f>IF(AJ9=1,0,'Допущения'!$C$72*(1+'Допущения'!$C$73)^(AJ6-1))</f>
        <v/>
      </c>
      <c r="AK17" s="14">
        <f>IF(AK9=1,0,'Допущения'!$C$72*(1+'Допущения'!$C$73)^(AK6-1))</f>
        <v/>
      </c>
      <c r="AL17" s="14">
        <f>IF(AL9=1,0,'Допущения'!$C$72*(1+'Допущения'!$C$73)^(AL6-1))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IF(C9=1,0*(1-'Допущения'!$C$68)*'Допущения'!$C$66+C16*(1-'Допущения'!$C$67),0)</f>
        <v/>
      </c>
      <c r="D18" s="14">
        <f>IF(D9=1,C18*(1-'Допущения'!$C$68)*'Допущения'!$C$66+D16*(1-'Допущения'!$C$67),0)</f>
        <v/>
      </c>
      <c r="E18" s="14">
        <f>IF(E9=1,D18*(1-'Допущения'!$C$68)*'Допущения'!$C$66+E16*(1-'Допущения'!$C$67),0)</f>
        <v/>
      </c>
      <c r="F18" s="14">
        <f>IF(F9=1,E18*(1-'Допущения'!$C$68)*'Допущения'!$C$66+F16*(1-'Допущения'!$C$67),0)</f>
        <v/>
      </c>
      <c r="G18" s="14">
        <f>IF(G9=1,F18*(1-'Допущения'!$C$68)*'Допущения'!$C$66+G16*(1-'Допущения'!$C$67),0)</f>
        <v/>
      </c>
      <c r="H18" s="14">
        <f>IF(H9=1,G18*(1-'Допущения'!$C$68)*'Допущения'!$C$66+H16*(1-'Допущения'!$C$67),0)</f>
        <v/>
      </c>
      <c r="I18" s="14">
        <f>IF(I9=1,H18*(1-'Допущения'!$C$68)*'Допущения'!$C$66+I16*(1-'Допущения'!$C$67),0)</f>
        <v/>
      </c>
      <c r="J18" s="14">
        <f>IF(J9=1,I18*(1-'Допущения'!$C$68)*'Допущения'!$C$66+J16*(1-'Допущения'!$C$67),0)</f>
        <v/>
      </c>
      <c r="K18" s="14">
        <f>IF(K9=1,J18*(1-'Допущения'!$C$68)*'Допущения'!$C$66+K16*(1-'Допущения'!$C$67),0)</f>
        <v/>
      </c>
      <c r="L18" s="14">
        <f>IF(L9=1,K18*(1-'Допущения'!$C$68)*'Допущения'!$C$66+L16*(1-'Допущения'!$C$67),0)</f>
        <v/>
      </c>
      <c r="M18" s="14">
        <f>IF(M9=1,L18*(1-'Допущения'!$C$68)*'Допущения'!$C$66+M16*(1-'Допущения'!$C$67),0)</f>
        <v/>
      </c>
      <c r="N18" s="14">
        <f>IF(N9=1,M18*(1-'Допущения'!$C$68)*'Допущения'!$C$66+N16*(1-'Допущения'!$C$67),0)</f>
        <v/>
      </c>
      <c r="O18" s="14">
        <f>IF(O9=1,N18*(1-'Допущения'!$C$68)*'Допущения'!$C$66+O16*(1-'Допущения'!$C$67),0)</f>
        <v/>
      </c>
      <c r="P18" s="14">
        <f>IF(P9=1,O18*(1-'Допущения'!$C$68)*'Допущения'!$C$66+P16*(1-'Допущения'!$C$67),0)</f>
        <v/>
      </c>
      <c r="Q18" s="14">
        <f>IF(Q9=1,P18*(1-'Допущения'!$C$68)*'Допущения'!$C$66+Q16*(1-'Допущения'!$C$67),0)</f>
        <v/>
      </c>
      <c r="R18" s="14">
        <f>IF(R9=1,Q18*(1-'Допущения'!$C$68)*'Допущения'!$C$66+R16*(1-'Допущения'!$C$67),0)</f>
        <v/>
      </c>
      <c r="S18" s="14">
        <f>IF(S9=1,R18*(1-'Допущения'!$C$68)*'Допущения'!$C$66+S16*(1-'Допущения'!$C$67),0)</f>
        <v/>
      </c>
      <c r="T18" s="14">
        <f>IF(T9=1,S18*(1-'Допущения'!$C$68)*'Допущения'!$C$66+T16*(1-'Допущения'!$C$67),0)</f>
        <v/>
      </c>
      <c r="U18" s="14">
        <f>IF(U9=1,T18*(1-'Допущения'!$C$68)*'Допущения'!$C$66+U16*(1-'Допущения'!$C$67),0)</f>
        <v/>
      </c>
      <c r="V18" s="14">
        <f>IF(V9=1,U18*(1-'Допущения'!$C$68)*'Допущения'!$C$66+V16*(1-'Допущения'!$C$67),0)</f>
        <v/>
      </c>
      <c r="W18" s="14">
        <f>IF(W9=1,V18*(1-'Допущения'!$C$68)*'Допущения'!$C$66+W16*(1-'Допущения'!$C$67),0)</f>
        <v/>
      </c>
      <c r="X18" s="14">
        <f>IF(X9=1,W18*(1-'Допущения'!$C$68)*'Допущения'!$C$66+X16*(1-'Допущения'!$C$67),0)</f>
        <v/>
      </c>
      <c r="Y18" s="14">
        <f>IF(Y9=1,X18*(1-'Допущения'!$C$68)*'Допущения'!$C$66+Y16*(1-'Допущения'!$C$67),0)</f>
        <v/>
      </c>
      <c r="Z18" s="14">
        <f>IF(Z9=1,Y18*(1-'Допущения'!$C$68)*'Допущения'!$C$66+Z16*(1-'Допущения'!$C$67),0)</f>
        <v/>
      </c>
      <c r="AA18" s="14">
        <f>IF(AA9=1,Z18*(1-'Допущения'!$C$68)*'Допущения'!$C$66+AA16*(1-'Допущения'!$C$67),0)</f>
        <v/>
      </c>
      <c r="AB18" s="14">
        <f>IF(AB9=1,AA18*(1-'Допущения'!$C$68)*'Допущения'!$C$66+AB16*(1-'Допущения'!$C$67),0)</f>
        <v/>
      </c>
      <c r="AC18" s="14">
        <f>IF(AC9=1,AB18*(1-'Допущения'!$C$68)*'Допущения'!$C$66+AC16*(1-'Допущения'!$C$67),0)</f>
        <v/>
      </c>
      <c r="AD18" s="14">
        <f>IF(AD9=1,AC18*(1-'Допущения'!$C$68)*'Допущения'!$C$66+AD16*(1-'Допущения'!$C$67),0)</f>
        <v/>
      </c>
      <c r="AE18" s="14">
        <f>IF(AE9=1,AD18*(1-'Допущения'!$C$68)*'Допущения'!$C$66+AE16*(1-'Допущения'!$C$67),0)</f>
        <v/>
      </c>
      <c r="AF18" s="14">
        <f>IF(AF9=1,AE18*(1-'Допущения'!$C$68)*'Допущения'!$C$66+AF16*(1-'Допущения'!$C$67),0)</f>
        <v/>
      </c>
      <c r="AG18" s="14">
        <f>IF(AG9=1,AF18*(1-'Допущения'!$C$68)*'Допущения'!$C$66+AG16*(1-'Допущения'!$C$67),0)</f>
        <v/>
      </c>
      <c r="AH18" s="14">
        <f>IF(AH9=1,AG18*(1-'Допущения'!$C$68)*'Допущения'!$C$66+AH16*(1-'Допущения'!$C$67),0)</f>
        <v/>
      </c>
      <c r="AI18" s="14">
        <f>IF(AI9=1,AH18*(1-'Допущения'!$C$68)*'Допущения'!$C$66+AI16*(1-'Допущения'!$C$67),0)</f>
        <v/>
      </c>
      <c r="AJ18" s="14">
        <f>IF(AJ9=1,AI18*(1-'Допущения'!$C$68)*'Допущения'!$C$66+AJ16*(1-'Допущения'!$C$67),0)</f>
        <v/>
      </c>
      <c r="AK18" s="14">
        <f>IF(AK9=1,AJ18*(1-'Допущения'!$C$68)*'Допущения'!$C$66+AK16*(1-'Допущения'!$C$67),0)</f>
        <v/>
      </c>
      <c r="AL18" s="14">
        <f>IF(AL9=1,AK18*(1-'Допущения'!$C$68)*'Допущения'!$C$66+AL16*(1-'Допущения'!$C$67),0)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IF(C9=1,C16*'Допущения'!$C$67+0*'Допущения'!$C$68,0)</f>
        <v/>
      </c>
      <c r="D19" s="14">
        <f>IF(D9=1,D16*'Допущения'!$C$67+C18*'Допущения'!$C$68,0)</f>
        <v/>
      </c>
      <c r="E19" s="14">
        <f>IF(E9=1,E16*'Допущения'!$C$67+D18*'Допущения'!$C$68,0)</f>
        <v/>
      </c>
      <c r="F19" s="14">
        <f>IF(F9=1,F16*'Допущения'!$C$67+E18*'Допущения'!$C$68,0)</f>
        <v/>
      </c>
      <c r="G19" s="14">
        <f>IF(G9=1,G16*'Допущения'!$C$67+F18*'Допущения'!$C$68,0)</f>
        <v/>
      </c>
      <c r="H19" s="14">
        <f>IF(H9=1,H16*'Допущения'!$C$67+G18*'Допущения'!$C$68,0)</f>
        <v/>
      </c>
      <c r="I19" s="14">
        <f>IF(I9=1,I16*'Допущения'!$C$67+H18*'Допущения'!$C$68,0)</f>
        <v/>
      </c>
      <c r="J19" s="14">
        <f>IF(J9=1,J16*'Допущения'!$C$67+I18*'Допущения'!$C$68,0)</f>
        <v/>
      </c>
      <c r="K19" s="14">
        <f>IF(K9=1,K16*'Допущения'!$C$67+J18*'Допущения'!$C$68,0)</f>
        <v/>
      </c>
      <c r="L19" s="14">
        <f>IF(L9=1,L16*'Допущения'!$C$67+K18*'Допущения'!$C$68,0)</f>
        <v/>
      </c>
      <c r="M19" s="14">
        <f>IF(M9=1,M16*'Допущения'!$C$67+L18*'Допущения'!$C$68,0)</f>
        <v/>
      </c>
      <c r="N19" s="14">
        <f>IF(N9=1,N16*'Допущения'!$C$67+M18*'Допущения'!$C$68,0)</f>
        <v/>
      </c>
      <c r="O19" s="14">
        <f>IF(O9=1,O16*'Допущения'!$C$67+N18*'Допущения'!$C$68,0)</f>
        <v/>
      </c>
      <c r="P19" s="14">
        <f>IF(P9=1,P16*'Допущения'!$C$67+O18*'Допущения'!$C$68,0)</f>
        <v/>
      </c>
      <c r="Q19" s="14">
        <f>IF(Q9=1,Q16*'Допущения'!$C$67+P18*'Допущения'!$C$68,0)</f>
        <v/>
      </c>
      <c r="R19" s="14">
        <f>IF(R9=1,R16*'Допущения'!$C$67+Q18*'Допущения'!$C$68,0)</f>
        <v/>
      </c>
      <c r="S19" s="14">
        <f>IF(S9=1,S16*'Допущения'!$C$67+R18*'Допущения'!$C$68,0)</f>
        <v/>
      </c>
      <c r="T19" s="14">
        <f>IF(T9=1,T16*'Допущения'!$C$67+S18*'Допущения'!$C$68,0)</f>
        <v/>
      </c>
      <c r="U19" s="14">
        <f>IF(U9=1,U16*'Допущения'!$C$67+T18*'Допущения'!$C$68,0)</f>
        <v/>
      </c>
      <c r="V19" s="14">
        <f>IF(V9=1,V16*'Допущения'!$C$67+U18*'Допущения'!$C$68,0)</f>
        <v/>
      </c>
      <c r="W19" s="14">
        <f>IF(W9=1,W16*'Допущения'!$C$67+V18*'Допущения'!$C$68,0)</f>
        <v/>
      </c>
      <c r="X19" s="14">
        <f>IF(X9=1,X16*'Допущения'!$C$67+W18*'Допущения'!$C$68,0)</f>
        <v/>
      </c>
      <c r="Y19" s="14">
        <f>IF(Y9=1,Y16*'Допущения'!$C$67+X18*'Допущения'!$C$68,0)</f>
        <v/>
      </c>
      <c r="Z19" s="14">
        <f>IF(Z9=1,Z16*'Допущения'!$C$67+Y18*'Допущения'!$C$68,0)</f>
        <v/>
      </c>
      <c r="AA19" s="14">
        <f>IF(AA9=1,AA16*'Допущения'!$C$67+Z18*'Допущения'!$C$68,0)</f>
        <v/>
      </c>
      <c r="AB19" s="14">
        <f>IF(AB9=1,AB16*'Допущения'!$C$67+AA18*'Допущения'!$C$68,0)</f>
        <v/>
      </c>
      <c r="AC19" s="14">
        <f>IF(AC9=1,AC16*'Допущения'!$C$67+AB18*'Допущения'!$C$68,0)</f>
        <v/>
      </c>
      <c r="AD19" s="14">
        <f>IF(AD9=1,AD16*'Допущения'!$C$67+AC18*'Допущения'!$C$68,0)</f>
        <v/>
      </c>
      <c r="AE19" s="14">
        <f>IF(AE9=1,AE16*'Допущения'!$C$67+AD18*'Допущения'!$C$68,0)</f>
        <v/>
      </c>
      <c r="AF19" s="14">
        <f>IF(AF9=1,AF16*'Допущения'!$C$67+AE18*'Допущения'!$C$68,0)</f>
        <v/>
      </c>
      <c r="AG19" s="14">
        <f>IF(AG9=1,AG16*'Допущения'!$C$67+AF18*'Допущения'!$C$68,0)</f>
        <v/>
      </c>
      <c r="AH19" s="14">
        <f>IF(AH9=1,AH16*'Допущения'!$C$67+AG18*'Допущения'!$C$68,0)</f>
        <v/>
      </c>
      <c r="AI19" s="14">
        <f>IF(AI9=1,AI16*'Допущения'!$C$67+AH18*'Допущения'!$C$68,0)</f>
        <v/>
      </c>
      <c r="AJ19" s="14">
        <f>IF(AJ9=1,AJ16*'Допущения'!$C$67+AI18*'Допущения'!$C$68,0)</f>
        <v/>
      </c>
      <c r="AK19" s="14">
        <f>IF(AK9=1,AK16*'Допущения'!$C$67+AJ18*'Допущения'!$C$68,0)</f>
        <v/>
      </c>
      <c r="AL19" s="14">
        <f>IF(AL9=1,AL16*'Допущения'!$C$67+AK18*'Допущения'!$C$68,0)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0*'Допущения'!$C$69</f>
        <v/>
      </c>
      <c r="D20" s="14">
        <f>C21*'Допущения'!$C$69</f>
        <v/>
      </c>
      <c r="E20" s="14">
        <f>D21*'Допущения'!$C$69</f>
        <v/>
      </c>
      <c r="F20" s="14">
        <f>E21*'Допущения'!$C$69</f>
        <v/>
      </c>
      <c r="G20" s="14">
        <f>F21*'Допущения'!$C$69</f>
        <v/>
      </c>
      <c r="H20" s="14">
        <f>G21*'Допущения'!$C$69</f>
        <v/>
      </c>
      <c r="I20" s="14">
        <f>H21*'Допущения'!$C$69</f>
        <v/>
      </c>
      <c r="J20" s="14">
        <f>I21*'Допущения'!$C$69</f>
        <v/>
      </c>
      <c r="K20" s="14">
        <f>J21*'Допущения'!$C$69</f>
        <v/>
      </c>
      <c r="L20" s="14">
        <f>K21*'Допущения'!$C$69</f>
        <v/>
      </c>
      <c r="M20" s="14">
        <f>L21*'Допущения'!$C$69</f>
        <v/>
      </c>
      <c r="N20" s="14">
        <f>M21*'Допущения'!$C$69</f>
        <v/>
      </c>
      <c r="O20" s="14">
        <f>N21*'Допущения'!$C$69</f>
        <v/>
      </c>
      <c r="P20" s="14">
        <f>O21*'Допущения'!$C$69</f>
        <v/>
      </c>
      <c r="Q20" s="14">
        <f>P21*'Допущения'!$C$69</f>
        <v/>
      </c>
      <c r="R20" s="14">
        <f>Q21*'Допущения'!$C$69</f>
        <v/>
      </c>
      <c r="S20" s="14">
        <f>R21*'Допущения'!$C$69</f>
        <v/>
      </c>
      <c r="T20" s="14">
        <f>S21*'Допущения'!$C$69</f>
        <v/>
      </c>
      <c r="U20" s="14">
        <f>T21*'Допущения'!$C$69</f>
        <v/>
      </c>
      <c r="V20" s="14">
        <f>U21*'Допущения'!$C$69</f>
        <v/>
      </c>
      <c r="W20" s="14">
        <f>V21*'Допущения'!$C$69</f>
        <v/>
      </c>
      <c r="X20" s="14">
        <f>W21*'Допущения'!$C$69</f>
        <v/>
      </c>
      <c r="Y20" s="14">
        <f>X21*'Допущения'!$C$69</f>
        <v/>
      </c>
      <c r="Z20" s="14">
        <f>Y21*'Допущения'!$C$69</f>
        <v/>
      </c>
      <c r="AA20" s="14">
        <f>Z21*'Допущения'!$C$69</f>
        <v/>
      </c>
      <c r="AB20" s="14">
        <f>AA21*'Допущения'!$C$69</f>
        <v/>
      </c>
      <c r="AC20" s="14">
        <f>AB21*'Допущения'!$C$69</f>
        <v/>
      </c>
      <c r="AD20" s="14">
        <f>AC21*'Допущения'!$C$69</f>
        <v/>
      </c>
      <c r="AE20" s="14">
        <f>AD21*'Допущения'!$C$69</f>
        <v/>
      </c>
      <c r="AF20" s="14">
        <f>AE21*'Допущения'!$C$69</f>
        <v/>
      </c>
      <c r="AG20" s="14">
        <f>AF21*'Допущения'!$C$69</f>
        <v/>
      </c>
      <c r="AH20" s="14">
        <f>AG21*'Допущения'!$C$69</f>
        <v/>
      </c>
      <c r="AI20" s="14">
        <f>AH21*'Допущения'!$C$69</f>
        <v/>
      </c>
      <c r="AJ20" s="14">
        <f>AI21*'Допущения'!$C$69</f>
        <v/>
      </c>
      <c r="AK20" s="14">
        <f>AJ21*'Допущения'!$C$69</f>
        <v/>
      </c>
      <c r="AL20" s="14">
        <f>AK21*'Допущения'!$C$69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C21*'Себестоимость'!$C$12</f>
        <v/>
      </c>
      <c r="D24" s="21">
        <f>D21*'Себестоимость'!$C$12</f>
        <v/>
      </c>
      <c r="E24" s="21">
        <f>E21*'Себестоимость'!$C$12</f>
        <v/>
      </c>
      <c r="F24" s="21">
        <f>F21*'Себестоимость'!$C$12</f>
        <v/>
      </c>
      <c r="G24" s="21">
        <f>G21*'Себестоимость'!$C$12</f>
        <v/>
      </c>
      <c r="H24" s="21">
        <f>H21*'Себестоимость'!$C$12</f>
        <v/>
      </c>
      <c r="I24" s="21">
        <f>I21*'Себестоимость'!$C$12</f>
        <v/>
      </c>
      <c r="J24" s="21">
        <f>J21*'Себестоимость'!$C$12</f>
        <v/>
      </c>
      <c r="K24" s="21">
        <f>K21*'Себестоимость'!$C$12</f>
        <v/>
      </c>
      <c r="L24" s="21">
        <f>L21*'Себестоимость'!$C$12</f>
        <v/>
      </c>
      <c r="M24" s="21">
        <f>M21*'Себестоимость'!$C$12</f>
        <v/>
      </c>
      <c r="N24" s="21">
        <f>N21*'Себестоимость'!$C$12</f>
        <v/>
      </c>
      <c r="O24" s="21">
        <f>O21*'Себестоимость'!$C$12</f>
        <v/>
      </c>
      <c r="P24" s="21">
        <f>P21*'Себестоимость'!$C$12</f>
        <v/>
      </c>
      <c r="Q24" s="21">
        <f>Q21*'Себестоимость'!$C$12</f>
        <v/>
      </c>
      <c r="R24" s="21">
        <f>R21*'Себестоимость'!$C$12</f>
        <v/>
      </c>
      <c r="S24" s="21">
        <f>S21*'Себестоимость'!$C$12</f>
        <v/>
      </c>
      <c r="T24" s="21">
        <f>T21*'Себестоимость'!$C$12</f>
        <v/>
      </c>
      <c r="U24" s="21">
        <f>U21*'Себестоимость'!$C$12</f>
        <v/>
      </c>
      <c r="V24" s="21">
        <f>V21*'Себестоимость'!$C$12</f>
        <v/>
      </c>
      <c r="W24" s="21">
        <f>W21*'Себестоимость'!$C$12</f>
        <v/>
      </c>
      <c r="X24" s="21">
        <f>X21*'Себестоимость'!$C$12</f>
        <v/>
      </c>
      <c r="Y24" s="21">
        <f>Y21*'Себестоимость'!$C$12</f>
        <v/>
      </c>
      <c r="Z24" s="21">
        <f>Z21*'Себестоимость'!$C$12</f>
        <v/>
      </c>
      <c r="AA24" s="21">
        <f>AA21*'Себестоимость'!$C$12</f>
        <v/>
      </c>
      <c r="AB24" s="21">
        <f>AB21*'Себестоимость'!$C$12</f>
        <v/>
      </c>
      <c r="AC24" s="21">
        <f>AC21*'Себестоимость'!$C$12</f>
        <v/>
      </c>
      <c r="AD24" s="21">
        <f>AD21*'Себестоимость'!$C$12</f>
        <v/>
      </c>
      <c r="AE24" s="21">
        <f>AE21*'Себестоимость'!$C$12</f>
        <v/>
      </c>
      <c r="AF24" s="21">
        <f>AF21*'Себестоимость'!$C$12</f>
        <v/>
      </c>
      <c r="AG24" s="21">
        <f>AG21*'Себестоимость'!$C$12</f>
        <v/>
      </c>
      <c r="AH24" s="21">
        <f>AH21*'Себестоимость'!$C$12</f>
        <v/>
      </c>
      <c r="AI24" s="21">
        <f>AI21*'Себестоимость'!$C$12</f>
        <v/>
      </c>
      <c r="AJ24" s="21">
        <f>AJ21*'Себестоимость'!$C$12</f>
        <v/>
      </c>
      <c r="AK24" s="21">
        <f>AK21*'Себестоимость'!$C$12</f>
        <v/>
      </c>
      <c r="AL24" s="21">
        <f>AL21*'Себестоимость'!$C$12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C21*'Себестоимость'!$C$13</f>
        <v/>
      </c>
      <c r="D26" s="21">
        <f>D21*'Себестоимость'!$C$13</f>
        <v/>
      </c>
      <c r="E26" s="21">
        <f>E21*'Себестоимость'!$C$13</f>
        <v/>
      </c>
      <c r="F26" s="21">
        <f>F21*'Себестоимость'!$C$13</f>
        <v/>
      </c>
      <c r="G26" s="21">
        <f>G21*'Себестоимость'!$C$13</f>
        <v/>
      </c>
      <c r="H26" s="21">
        <f>H21*'Себестоимость'!$C$13</f>
        <v/>
      </c>
      <c r="I26" s="21">
        <f>I21*'Себестоимость'!$C$13</f>
        <v/>
      </c>
      <c r="J26" s="21">
        <f>J21*'Себестоимость'!$C$13</f>
        <v/>
      </c>
      <c r="K26" s="21">
        <f>K21*'Себестоимость'!$C$13</f>
        <v/>
      </c>
      <c r="L26" s="21">
        <f>L21*'Себестоимость'!$C$13</f>
        <v/>
      </c>
      <c r="M26" s="21">
        <f>M21*'Себестоимость'!$C$13</f>
        <v/>
      </c>
      <c r="N26" s="21">
        <f>N21*'Себестоимость'!$C$13</f>
        <v/>
      </c>
      <c r="O26" s="21">
        <f>O21*'Себестоимость'!$C$13</f>
        <v/>
      </c>
      <c r="P26" s="21">
        <f>P21*'Себестоимость'!$C$13</f>
        <v/>
      </c>
      <c r="Q26" s="21">
        <f>Q21*'Себестоимость'!$C$13</f>
        <v/>
      </c>
      <c r="R26" s="21">
        <f>R21*'Себестоимость'!$C$13</f>
        <v/>
      </c>
      <c r="S26" s="21">
        <f>S21*'Себестоимость'!$C$13</f>
        <v/>
      </c>
      <c r="T26" s="21">
        <f>T21*'Себестоимость'!$C$13</f>
        <v/>
      </c>
      <c r="U26" s="21">
        <f>U21*'Себестоимость'!$C$13</f>
        <v/>
      </c>
      <c r="V26" s="21">
        <f>V21*'Себестоимость'!$C$13</f>
        <v/>
      </c>
      <c r="W26" s="21">
        <f>W21*'Себестоимость'!$C$13</f>
        <v/>
      </c>
      <c r="X26" s="21">
        <f>X21*'Себестоимость'!$C$13</f>
        <v/>
      </c>
      <c r="Y26" s="21">
        <f>Y21*'Себестоимость'!$C$13</f>
        <v/>
      </c>
      <c r="Z26" s="21">
        <f>Z21*'Себестоимость'!$C$13</f>
        <v/>
      </c>
      <c r="AA26" s="21">
        <f>AA21*'Себестоимость'!$C$13</f>
        <v/>
      </c>
      <c r="AB26" s="21">
        <f>AB21*'Себестоимость'!$C$13</f>
        <v/>
      </c>
      <c r="AC26" s="21">
        <f>AC21*'Себестоимость'!$C$13</f>
        <v/>
      </c>
      <c r="AD26" s="21">
        <f>AD21*'Себестоимость'!$C$13</f>
        <v/>
      </c>
      <c r="AE26" s="21">
        <f>AE21*'Себестоимость'!$C$13</f>
        <v/>
      </c>
      <c r="AF26" s="21">
        <f>AF21*'Себестоимость'!$C$13</f>
        <v/>
      </c>
      <c r="AG26" s="21">
        <f>AG21*'Себестоимость'!$C$13</f>
        <v/>
      </c>
      <c r="AH26" s="21">
        <f>AH21*'Себестоимость'!$C$13</f>
        <v/>
      </c>
      <c r="AI26" s="21">
        <f>AI21*'Себестоимость'!$C$13</f>
        <v/>
      </c>
      <c r="AJ26" s="21">
        <f>AJ21*'Себестоимость'!$C$13</f>
        <v/>
      </c>
      <c r="AK26" s="21">
        <f>AK21*'Себестоимость'!$C$13</f>
        <v/>
      </c>
      <c r="AL26" s="21">
        <f>AL21*'Себестоимость'!$C$13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C17*'Допущения'!$C$75*'Допущения'!$C$76*(1-'Допущения'!$C$77)</f>
        <v/>
      </c>
      <c r="D27" s="21">
        <f>D17*'Допущения'!$C$75*'Допущения'!$C$76*(1-'Допущения'!$C$77)</f>
        <v/>
      </c>
      <c r="E27" s="21">
        <f>E17*'Допущения'!$C$75*'Допущения'!$C$76*(1-'Допущения'!$C$77)</f>
        <v/>
      </c>
      <c r="F27" s="21">
        <f>F17*'Допущения'!$C$75*'Допущения'!$C$76*(1-'Допущения'!$C$77)</f>
        <v/>
      </c>
      <c r="G27" s="21">
        <f>G17*'Допущения'!$C$75*'Допущения'!$C$76*(1-'Допущения'!$C$77)</f>
        <v/>
      </c>
      <c r="H27" s="21">
        <f>H17*'Допущения'!$C$75*'Допущения'!$C$76*(1-'Допущения'!$C$77)</f>
        <v/>
      </c>
      <c r="I27" s="21">
        <f>I17*'Допущения'!$C$75*'Допущения'!$C$76*(1-'Допущения'!$C$77)</f>
        <v/>
      </c>
      <c r="J27" s="21">
        <f>J17*'Допущения'!$C$75*'Допущения'!$C$76*(1-'Допущения'!$C$77)</f>
        <v/>
      </c>
      <c r="K27" s="21">
        <f>K17*'Допущения'!$C$75*'Допущения'!$C$76*(1-'Допущения'!$C$77)</f>
        <v/>
      </c>
      <c r="L27" s="21">
        <f>L17*'Допущения'!$C$75*'Допущения'!$C$76*(1-'Допущения'!$C$77)</f>
        <v/>
      </c>
      <c r="M27" s="21">
        <f>M17*'Допущения'!$C$75*'Допущения'!$C$76*(1-'Допущения'!$C$77)</f>
        <v/>
      </c>
      <c r="N27" s="21">
        <f>N17*'Допущения'!$C$75*'Допущения'!$C$76*(1-'Допущения'!$C$77)</f>
        <v/>
      </c>
      <c r="O27" s="21">
        <f>O17*'Допущения'!$C$75*'Допущения'!$C$76*(1-'Допущения'!$C$77)</f>
        <v/>
      </c>
      <c r="P27" s="21">
        <f>P17*'Допущения'!$C$75*'Допущения'!$C$76*(1-'Допущения'!$C$77)</f>
        <v/>
      </c>
      <c r="Q27" s="21">
        <f>Q17*'Допущения'!$C$75*'Допущения'!$C$76*(1-'Допущения'!$C$77)</f>
        <v/>
      </c>
      <c r="R27" s="21">
        <f>R17*'Допущения'!$C$75*'Допущения'!$C$76*(1-'Допущения'!$C$77)</f>
        <v/>
      </c>
      <c r="S27" s="21">
        <f>S17*'Допущения'!$C$75*'Допущения'!$C$76*(1-'Допущения'!$C$77)</f>
        <v/>
      </c>
      <c r="T27" s="21">
        <f>T17*'Допущения'!$C$75*'Допущения'!$C$76*(1-'Допущения'!$C$77)</f>
        <v/>
      </c>
      <c r="U27" s="21">
        <f>U17*'Допущения'!$C$75*'Допущения'!$C$76*(1-'Допущения'!$C$77)</f>
        <v/>
      </c>
      <c r="V27" s="21">
        <f>V17*'Допущения'!$C$75*'Допущения'!$C$76*(1-'Допущения'!$C$77)</f>
        <v/>
      </c>
      <c r="W27" s="21">
        <f>W17*'Допущения'!$C$75*'Допущения'!$C$76*(1-'Допущения'!$C$77)</f>
        <v/>
      </c>
      <c r="X27" s="21">
        <f>X17*'Допущения'!$C$75*'Допущения'!$C$76*(1-'Допущения'!$C$77)</f>
        <v/>
      </c>
      <c r="Y27" s="21">
        <f>Y17*'Допущения'!$C$75*'Допущения'!$C$76*(1-'Допущения'!$C$77)</f>
        <v/>
      </c>
      <c r="Z27" s="21">
        <f>Z17*'Допущения'!$C$75*'Допущения'!$C$76*(1-'Допущения'!$C$77)</f>
        <v/>
      </c>
      <c r="AA27" s="21">
        <f>AA17*'Допущения'!$C$75*'Допущения'!$C$76*(1-'Допущения'!$C$77)</f>
        <v/>
      </c>
      <c r="AB27" s="21">
        <f>AB17*'Допущения'!$C$75*'Допущения'!$C$76*(1-'Допущения'!$C$77)</f>
        <v/>
      </c>
      <c r="AC27" s="21">
        <f>AC17*'Допущения'!$C$75*'Допущения'!$C$76*(1-'Допущения'!$C$77)</f>
        <v/>
      </c>
      <c r="AD27" s="21">
        <f>AD17*'Допущения'!$C$75*'Допущения'!$C$76*(1-'Допущения'!$C$77)</f>
        <v/>
      </c>
      <c r="AE27" s="21">
        <f>AE17*'Допущения'!$C$75*'Допущения'!$C$76*(1-'Допущения'!$C$77)</f>
        <v/>
      </c>
      <c r="AF27" s="21">
        <f>AF17*'Допущения'!$C$75*'Допущения'!$C$76*(1-'Допущения'!$C$77)</f>
        <v/>
      </c>
      <c r="AG27" s="21">
        <f>AG17*'Допущения'!$C$75*'Допущения'!$C$76*(1-'Допущения'!$C$77)</f>
        <v/>
      </c>
      <c r="AH27" s="21">
        <f>AH17*'Допущения'!$C$75*'Допущения'!$C$76*(1-'Допущения'!$C$77)</f>
        <v/>
      </c>
      <c r="AI27" s="21">
        <f>AI17*'Допущения'!$C$75*'Допущения'!$C$76*(1-'Допущения'!$C$77)</f>
        <v/>
      </c>
      <c r="AJ27" s="21">
        <f>AJ17*'Допущения'!$C$75*'Допущения'!$C$76*(1-'Допущения'!$C$77)</f>
        <v/>
      </c>
      <c r="AK27" s="21">
        <f>AK17*'Допущения'!$C$75*'Допущения'!$C$76*(1-'Допущения'!$C$77)</f>
        <v/>
      </c>
      <c r="AL27" s="21">
        <f>AL17*'Допущения'!$C$75*'Допущения'!$C$76*(1-'Допущения'!$C$77)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C21*'Себестоимость'!$C$14</f>
        <v/>
      </c>
      <c r="D30" s="21">
        <f>D21*'Себестоимость'!$C$14</f>
        <v/>
      </c>
      <c r="E30" s="21">
        <f>E21*'Себестоимость'!$C$14</f>
        <v/>
      </c>
      <c r="F30" s="21">
        <f>F21*'Себестоимость'!$C$14</f>
        <v/>
      </c>
      <c r="G30" s="21">
        <f>G21*'Себестоимость'!$C$14</f>
        <v/>
      </c>
      <c r="H30" s="21">
        <f>H21*'Себестоимость'!$C$14</f>
        <v/>
      </c>
      <c r="I30" s="21">
        <f>I21*'Себестоимость'!$C$14</f>
        <v/>
      </c>
      <c r="J30" s="21">
        <f>J21*'Себестоимость'!$C$14</f>
        <v/>
      </c>
      <c r="K30" s="21">
        <f>K21*'Себестоимость'!$C$14</f>
        <v/>
      </c>
      <c r="L30" s="21">
        <f>L21*'Себестоимость'!$C$14</f>
        <v/>
      </c>
      <c r="M30" s="21">
        <f>M21*'Себестоимость'!$C$14</f>
        <v/>
      </c>
      <c r="N30" s="21">
        <f>N21*'Себестоимость'!$C$14</f>
        <v/>
      </c>
      <c r="O30" s="21">
        <f>O21*'Себестоимость'!$C$14</f>
        <v/>
      </c>
      <c r="P30" s="21">
        <f>P21*'Себестоимость'!$C$14</f>
        <v/>
      </c>
      <c r="Q30" s="21">
        <f>Q21*'Себестоимость'!$C$14</f>
        <v/>
      </c>
      <c r="R30" s="21">
        <f>R21*'Себестоимость'!$C$14</f>
        <v/>
      </c>
      <c r="S30" s="21">
        <f>S21*'Себестоимость'!$C$14</f>
        <v/>
      </c>
      <c r="T30" s="21">
        <f>T21*'Себестоимость'!$C$14</f>
        <v/>
      </c>
      <c r="U30" s="21">
        <f>U21*'Себестоимость'!$C$14</f>
        <v/>
      </c>
      <c r="V30" s="21">
        <f>V21*'Себестоимость'!$C$14</f>
        <v/>
      </c>
      <c r="W30" s="21">
        <f>W21*'Себестоимость'!$C$14</f>
        <v/>
      </c>
      <c r="X30" s="21">
        <f>X21*'Себестоимость'!$C$14</f>
        <v/>
      </c>
      <c r="Y30" s="21">
        <f>Y21*'Себестоимость'!$C$14</f>
        <v/>
      </c>
      <c r="Z30" s="21">
        <f>Z21*'Себестоимость'!$C$14</f>
        <v/>
      </c>
      <c r="AA30" s="21">
        <f>AA21*'Себестоимость'!$C$14</f>
        <v/>
      </c>
      <c r="AB30" s="21">
        <f>AB21*'Себестоимость'!$C$14</f>
        <v/>
      </c>
      <c r="AC30" s="21">
        <f>AC21*'Себестоимость'!$C$14</f>
        <v/>
      </c>
      <c r="AD30" s="21">
        <f>AD21*'Себестоимость'!$C$14</f>
        <v/>
      </c>
      <c r="AE30" s="21">
        <f>AE21*'Себестоимость'!$C$14</f>
        <v/>
      </c>
      <c r="AF30" s="21">
        <f>AF21*'Себестоимость'!$C$14</f>
        <v/>
      </c>
      <c r="AG30" s="21">
        <f>AG21*'Себестоимость'!$C$14</f>
        <v/>
      </c>
      <c r="AH30" s="21">
        <f>AH21*'Себестоимость'!$C$14</f>
        <v/>
      </c>
      <c r="AI30" s="21">
        <f>AI21*'Себестоимость'!$C$14</f>
        <v/>
      </c>
      <c r="AJ30" s="21">
        <f>AJ21*'Себестоимость'!$C$14</f>
        <v/>
      </c>
      <c r="AK30" s="21">
        <f>AK21*'Себестоимость'!$C$14</f>
        <v/>
      </c>
      <c r="AL30" s="21">
        <f>AL21*'Себестоимость'!$C$14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C18*'Себестоимость'!$C$16+C17*'Допущения'!$C$74*'Себестоимость'!$C$7</f>
        <v/>
      </c>
      <c r="D31" s="21">
        <f>D18*'Себестоимость'!$C$16+D17*'Допущения'!$C$74*'Себестоимость'!$C$7</f>
        <v/>
      </c>
      <c r="E31" s="21">
        <f>E18*'Себестоимость'!$C$16+E17*'Допущения'!$C$74*'Себестоимость'!$C$7</f>
        <v/>
      </c>
      <c r="F31" s="21">
        <f>F18*'Себестоимость'!$C$16+F17*'Допущения'!$C$74*'Себестоимость'!$C$7</f>
        <v/>
      </c>
      <c r="G31" s="21">
        <f>G18*'Себестоимость'!$C$16+G17*'Допущения'!$C$74*'Себестоимость'!$C$7</f>
        <v/>
      </c>
      <c r="H31" s="21">
        <f>H18*'Себестоимость'!$C$16+H17*'Допущения'!$C$74*'Себестоимость'!$C$7</f>
        <v/>
      </c>
      <c r="I31" s="21">
        <f>I18*'Себестоимость'!$C$16+I17*'Допущения'!$C$74*'Себестоимость'!$C$7</f>
        <v/>
      </c>
      <c r="J31" s="21">
        <f>J18*'Себестоимость'!$C$16+J17*'Допущения'!$C$74*'Себестоимость'!$C$7</f>
        <v/>
      </c>
      <c r="K31" s="21">
        <f>K18*'Себестоимость'!$C$16+K17*'Допущения'!$C$74*'Себестоимость'!$C$7</f>
        <v/>
      </c>
      <c r="L31" s="21">
        <f>L18*'Себестоимость'!$C$16+L17*'Допущения'!$C$74*'Себестоимость'!$C$7</f>
        <v/>
      </c>
      <c r="M31" s="21">
        <f>M18*'Себестоимость'!$C$16+M17*'Допущения'!$C$74*'Себестоимость'!$C$7</f>
        <v/>
      </c>
      <c r="N31" s="21">
        <f>N18*'Себестоимость'!$C$16+N17*'Допущения'!$C$74*'Себестоимость'!$C$7</f>
        <v/>
      </c>
      <c r="O31" s="21">
        <f>O18*'Себестоимость'!$C$16+O17*'Допущения'!$C$74*'Себестоимость'!$C$7</f>
        <v/>
      </c>
      <c r="P31" s="21">
        <f>P18*'Себестоимость'!$C$16+P17*'Допущения'!$C$74*'Себестоимость'!$C$7</f>
        <v/>
      </c>
      <c r="Q31" s="21">
        <f>Q18*'Себестоимость'!$C$16+Q17*'Допущения'!$C$74*'Себестоимость'!$C$7</f>
        <v/>
      </c>
      <c r="R31" s="21">
        <f>R18*'Себестоимость'!$C$16+R17*'Допущения'!$C$74*'Себестоимость'!$C$7</f>
        <v/>
      </c>
      <c r="S31" s="21">
        <f>S18*'Себестоимость'!$C$16+S17*'Допущения'!$C$74*'Себестоимость'!$C$7</f>
        <v/>
      </c>
      <c r="T31" s="21">
        <f>T18*'Себестоимость'!$C$16+T17*'Допущения'!$C$74*'Себестоимость'!$C$7</f>
        <v/>
      </c>
      <c r="U31" s="21">
        <f>U18*'Себестоимость'!$C$16+U17*'Допущения'!$C$74*'Себестоимость'!$C$7</f>
        <v/>
      </c>
      <c r="V31" s="21">
        <f>V18*'Себестоимость'!$C$16+V17*'Допущения'!$C$74*'Себестоимость'!$C$7</f>
        <v/>
      </c>
      <c r="W31" s="21">
        <f>W18*'Себестоимость'!$C$16+W17*'Допущения'!$C$74*'Себестоимость'!$C$7</f>
        <v/>
      </c>
      <c r="X31" s="21">
        <f>X18*'Себестоимость'!$C$16+X17*'Допущения'!$C$74*'Себестоимость'!$C$7</f>
        <v/>
      </c>
      <c r="Y31" s="21">
        <f>Y18*'Себестоимость'!$C$16+Y17*'Допущения'!$C$74*'Себестоимость'!$C$7</f>
        <v/>
      </c>
      <c r="Z31" s="21">
        <f>Z18*'Себестоимость'!$C$16+Z17*'Допущения'!$C$74*'Себестоимость'!$C$7</f>
        <v/>
      </c>
      <c r="AA31" s="21">
        <f>AA18*'Себестоимость'!$C$16+AA17*'Допущения'!$C$74*'Себестоимость'!$C$7</f>
        <v/>
      </c>
      <c r="AB31" s="21">
        <f>AB18*'Себестоимость'!$C$16+AB17*'Допущения'!$C$74*'Себестоимость'!$C$7</f>
        <v/>
      </c>
      <c r="AC31" s="21">
        <f>AC18*'Себестоимость'!$C$16+AC17*'Допущения'!$C$74*'Себестоимость'!$C$7</f>
        <v/>
      </c>
      <c r="AD31" s="21">
        <f>AD18*'Себестоимость'!$C$16+AD17*'Допущения'!$C$74*'Себестоимость'!$C$7</f>
        <v/>
      </c>
      <c r="AE31" s="21">
        <f>AE18*'Себестоимость'!$C$16+AE17*'Допущения'!$C$74*'Себестоимость'!$C$7</f>
        <v/>
      </c>
      <c r="AF31" s="21">
        <f>AF18*'Себестоимость'!$C$16+AF17*'Допущения'!$C$74*'Себестоимость'!$C$7</f>
        <v/>
      </c>
      <c r="AG31" s="21">
        <f>AG18*'Себестоимость'!$C$16+AG17*'Допущения'!$C$74*'Себестоимость'!$C$7</f>
        <v/>
      </c>
      <c r="AH31" s="21">
        <f>AH18*'Себестоимость'!$C$16+AH17*'Допущения'!$C$74*'Себестоимость'!$C$7</f>
        <v/>
      </c>
      <c r="AI31" s="21">
        <f>AI18*'Себестоимость'!$C$16+AI17*'Допущения'!$C$74*'Себестоимость'!$C$7</f>
        <v/>
      </c>
      <c r="AJ31" s="21">
        <f>AJ18*'Себестоимость'!$C$16+AJ17*'Допущения'!$C$74*'Себестоимость'!$C$7</f>
        <v/>
      </c>
      <c r="AK31" s="21">
        <f>AK18*'Себестоимость'!$C$16+AK17*'Допущения'!$C$74*'Себестоимость'!$C$7</f>
        <v/>
      </c>
      <c r="AL31" s="21">
        <f>AL18*'Себестоимость'!$C$16+AL17*'Допущения'!$C$74*'Себестоимость'!$C$7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C19*'Допущения'!$C$44*'Допущения'!$C$93</f>
        <v/>
      </c>
      <c r="D32" s="21">
        <f>D19*'Допущения'!$C$44*'Допущения'!$C$93</f>
        <v/>
      </c>
      <c r="E32" s="21">
        <f>E19*'Допущения'!$C$44*'Допущения'!$C$93</f>
        <v/>
      </c>
      <c r="F32" s="21">
        <f>F19*'Допущения'!$C$44*'Допущения'!$C$93</f>
        <v/>
      </c>
      <c r="G32" s="21">
        <f>G19*'Допущения'!$C$44*'Допущения'!$C$93</f>
        <v/>
      </c>
      <c r="H32" s="21">
        <f>H19*'Допущения'!$C$44*'Допущения'!$C$93</f>
        <v/>
      </c>
      <c r="I32" s="21">
        <f>I19*'Допущения'!$C$44*'Допущения'!$C$93</f>
        <v/>
      </c>
      <c r="J32" s="21">
        <f>J19*'Допущения'!$C$44*'Допущения'!$C$93</f>
        <v/>
      </c>
      <c r="K32" s="21">
        <f>K19*'Допущения'!$C$44*'Допущения'!$C$93</f>
        <v/>
      </c>
      <c r="L32" s="21">
        <f>L19*'Допущения'!$C$44*'Допущения'!$C$93</f>
        <v/>
      </c>
      <c r="M32" s="21">
        <f>M19*'Допущения'!$C$44*'Допущения'!$C$93</f>
        <v/>
      </c>
      <c r="N32" s="21">
        <f>N19*'Допущения'!$C$44*'Допущения'!$C$93</f>
        <v/>
      </c>
      <c r="O32" s="21">
        <f>O19*'Допущения'!$C$44*'Допущения'!$C$93</f>
        <v/>
      </c>
      <c r="P32" s="21">
        <f>P19*'Допущения'!$C$44*'Допущения'!$C$93</f>
        <v/>
      </c>
      <c r="Q32" s="21">
        <f>Q19*'Допущения'!$C$44*'Допущения'!$C$93</f>
        <v/>
      </c>
      <c r="R32" s="21">
        <f>R19*'Допущения'!$C$44*'Допущения'!$C$93</f>
        <v/>
      </c>
      <c r="S32" s="21">
        <f>S19*'Допущения'!$C$44*'Допущения'!$C$93</f>
        <v/>
      </c>
      <c r="T32" s="21">
        <f>T19*'Допущения'!$C$44*'Допущения'!$C$93</f>
        <v/>
      </c>
      <c r="U32" s="21">
        <f>U19*'Допущения'!$C$44*'Допущения'!$C$93</f>
        <v/>
      </c>
      <c r="V32" s="21">
        <f>V19*'Допущения'!$C$44*'Допущения'!$C$93</f>
        <v/>
      </c>
      <c r="W32" s="21">
        <f>W19*'Допущения'!$C$44*'Допущения'!$C$93</f>
        <v/>
      </c>
      <c r="X32" s="21">
        <f>X19*'Допущения'!$C$44*'Допущения'!$C$93</f>
        <v/>
      </c>
      <c r="Y32" s="21">
        <f>Y19*'Допущения'!$C$44*'Допущения'!$C$93</f>
        <v/>
      </c>
      <c r="Z32" s="21">
        <f>Z19*'Допущения'!$C$44*'Допущения'!$C$93</f>
        <v/>
      </c>
      <c r="AA32" s="21">
        <f>AA19*'Допущения'!$C$44*'Допущения'!$C$93</f>
        <v/>
      </c>
      <c r="AB32" s="21">
        <f>AB19*'Допущения'!$C$44*'Допущения'!$C$93</f>
        <v/>
      </c>
      <c r="AC32" s="21">
        <f>AC19*'Допущения'!$C$44*'Допущения'!$C$93</f>
        <v/>
      </c>
      <c r="AD32" s="21">
        <f>AD19*'Допущения'!$C$44*'Допущения'!$C$93</f>
        <v/>
      </c>
      <c r="AE32" s="21">
        <f>AE19*'Допущения'!$C$44*'Допущения'!$C$93</f>
        <v/>
      </c>
      <c r="AF32" s="21">
        <f>AF19*'Допущения'!$C$44*'Допущения'!$C$93</f>
        <v/>
      </c>
      <c r="AG32" s="21">
        <f>AG19*'Допущения'!$C$44*'Допущения'!$C$93</f>
        <v/>
      </c>
      <c r="AH32" s="21">
        <f>AH19*'Допущения'!$C$44*'Допущения'!$C$93</f>
        <v/>
      </c>
      <c r="AI32" s="21">
        <f>AI19*'Допущения'!$C$44*'Допущения'!$C$93</f>
        <v/>
      </c>
      <c r="AJ32" s="21">
        <f>AJ19*'Допущения'!$C$44*'Допущения'!$C$93</f>
        <v/>
      </c>
      <c r="AK32" s="21">
        <f>AK19*'Допущения'!$C$44*'Допущения'!$C$93</f>
        <v/>
      </c>
      <c r="AL32" s="21">
        <f>AL19*'Допущения'!$C$44*'Допущения'!$C$93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C22*'Допущения'!$C$86</f>
        <v/>
      </c>
      <c r="D33" s="21">
        <f>D22*'Допущения'!$C$86</f>
        <v/>
      </c>
      <c r="E33" s="21">
        <f>E22*'Допущения'!$C$86</f>
        <v/>
      </c>
      <c r="F33" s="21">
        <f>F22*'Допущения'!$C$86</f>
        <v/>
      </c>
      <c r="G33" s="21">
        <f>G22*'Допущения'!$C$86</f>
        <v/>
      </c>
      <c r="H33" s="21">
        <f>H22*'Допущения'!$C$86</f>
        <v/>
      </c>
      <c r="I33" s="21">
        <f>I22*'Допущения'!$C$86</f>
        <v/>
      </c>
      <c r="J33" s="21">
        <f>J22*'Допущения'!$C$86</f>
        <v/>
      </c>
      <c r="K33" s="21">
        <f>K22*'Допущения'!$C$86</f>
        <v/>
      </c>
      <c r="L33" s="21">
        <f>L22*'Допущения'!$C$86</f>
        <v/>
      </c>
      <c r="M33" s="21">
        <f>M22*'Допущения'!$C$86</f>
        <v/>
      </c>
      <c r="N33" s="21">
        <f>N22*'Допущения'!$C$86</f>
        <v/>
      </c>
      <c r="O33" s="21">
        <f>O22*'Допущения'!$C$86</f>
        <v/>
      </c>
      <c r="P33" s="21">
        <f>P22*'Допущения'!$C$86</f>
        <v/>
      </c>
      <c r="Q33" s="21">
        <f>Q22*'Допущения'!$C$86</f>
        <v/>
      </c>
      <c r="R33" s="21">
        <f>R22*'Допущения'!$C$86</f>
        <v/>
      </c>
      <c r="S33" s="21">
        <f>S22*'Допущения'!$C$86</f>
        <v/>
      </c>
      <c r="T33" s="21">
        <f>T22*'Допущения'!$C$86</f>
        <v/>
      </c>
      <c r="U33" s="21">
        <f>U22*'Допущения'!$C$86</f>
        <v/>
      </c>
      <c r="V33" s="21">
        <f>V22*'Допущения'!$C$86</f>
        <v/>
      </c>
      <c r="W33" s="21">
        <f>W22*'Допущения'!$C$86</f>
        <v/>
      </c>
      <c r="X33" s="21">
        <f>X22*'Допущения'!$C$86</f>
        <v/>
      </c>
      <c r="Y33" s="21">
        <f>Y22*'Допущения'!$C$86</f>
        <v/>
      </c>
      <c r="Z33" s="21">
        <f>Z22*'Допущения'!$C$86</f>
        <v/>
      </c>
      <c r="AA33" s="21">
        <f>AA22*'Допущения'!$C$86</f>
        <v/>
      </c>
      <c r="AB33" s="21">
        <f>AB22*'Допущения'!$C$86</f>
        <v/>
      </c>
      <c r="AC33" s="21">
        <f>AC22*'Допущения'!$C$86</f>
        <v/>
      </c>
      <c r="AD33" s="21">
        <f>AD22*'Допущения'!$C$86</f>
        <v/>
      </c>
      <c r="AE33" s="21">
        <f>AE22*'Допущения'!$C$86</f>
        <v/>
      </c>
      <c r="AF33" s="21">
        <f>AF22*'Допущения'!$C$86</f>
        <v/>
      </c>
      <c r="AG33" s="21">
        <f>AG22*'Допущения'!$C$86</f>
        <v/>
      </c>
      <c r="AH33" s="21">
        <f>AH22*'Допущения'!$C$86</f>
        <v/>
      </c>
      <c r="AI33" s="21">
        <f>AI22*'Допущения'!$C$86</f>
        <v/>
      </c>
      <c r="AJ33" s="21">
        <f>AJ22*'Допущения'!$C$86</f>
        <v/>
      </c>
      <c r="AK33" s="21">
        <f>AK22*'Допущения'!$C$86</f>
        <v/>
      </c>
      <c r="AL33" s="21">
        <f>AL22*'Допущения'!$C$86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'Допущения'!$C$85</f>
        <v/>
      </c>
      <c r="D38" s="21">
        <f>'Допущения'!$C$85</f>
        <v/>
      </c>
      <c r="E38" s="21">
        <f>'Допущения'!$C$85</f>
        <v/>
      </c>
      <c r="F38" s="21">
        <f>'Допущения'!$C$85</f>
        <v/>
      </c>
      <c r="G38" s="21">
        <f>'Допущения'!$C$85</f>
        <v/>
      </c>
      <c r="H38" s="21">
        <f>'Допущения'!$C$85</f>
        <v/>
      </c>
      <c r="I38" s="21">
        <f>'Допущения'!$C$85</f>
        <v/>
      </c>
      <c r="J38" s="21">
        <f>'Допущения'!$C$85</f>
        <v/>
      </c>
      <c r="K38" s="21">
        <f>'Допущения'!$C$85</f>
        <v/>
      </c>
      <c r="L38" s="21">
        <f>'Допущения'!$C$85</f>
        <v/>
      </c>
      <c r="M38" s="21">
        <f>'Допущения'!$C$85</f>
        <v/>
      </c>
      <c r="N38" s="21">
        <f>'Допущения'!$C$85</f>
        <v/>
      </c>
      <c r="O38" s="21">
        <f>'Допущения'!$C$85</f>
        <v/>
      </c>
      <c r="P38" s="21">
        <f>'Допущения'!$C$85</f>
        <v/>
      </c>
      <c r="Q38" s="21">
        <f>'Допущения'!$C$85</f>
        <v/>
      </c>
      <c r="R38" s="21">
        <f>'Допущения'!$C$85</f>
        <v/>
      </c>
      <c r="S38" s="21">
        <f>'Допущения'!$C$85</f>
        <v/>
      </c>
      <c r="T38" s="21">
        <f>'Допущения'!$C$85</f>
        <v/>
      </c>
      <c r="U38" s="21">
        <f>'Допущения'!$C$85</f>
        <v/>
      </c>
      <c r="V38" s="21">
        <f>'Допущения'!$C$85</f>
        <v/>
      </c>
      <c r="W38" s="21">
        <f>'Допущения'!$C$85</f>
        <v/>
      </c>
      <c r="X38" s="21">
        <f>'Допущения'!$C$85</f>
        <v/>
      </c>
      <c r="Y38" s="21">
        <f>'Допущения'!$C$85</f>
        <v/>
      </c>
      <c r="Z38" s="21">
        <f>'Допущения'!$C$85</f>
        <v/>
      </c>
      <c r="AA38" s="21">
        <f>'Допущения'!$C$85</f>
        <v/>
      </c>
      <c r="AB38" s="21">
        <f>'Допущения'!$C$85</f>
        <v/>
      </c>
      <c r="AC38" s="21">
        <f>'Допущения'!$C$85</f>
        <v/>
      </c>
      <c r="AD38" s="21">
        <f>'Допущения'!$C$85</f>
        <v/>
      </c>
      <c r="AE38" s="21">
        <f>'Допущения'!$C$85</f>
        <v/>
      </c>
      <c r="AF38" s="21">
        <f>'Допущения'!$C$85</f>
        <v/>
      </c>
      <c r="AG38" s="21">
        <f>'Допущения'!$C$85</f>
        <v/>
      </c>
      <c r="AH38" s="21">
        <f>'Допущения'!$C$85</f>
        <v/>
      </c>
      <c r="AI38" s="21">
        <f>'Допущения'!$C$85</f>
        <v/>
      </c>
      <c r="AJ38" s="21">
        <f>'Допущения'!$C$85</f>
        <v/>
      </c>
      <c r="AK38" s="21">
        <f>'Допущения'!$C$85</f>
        <v/>
      </c>
      <c r="AL38" s="21">
        <f>'Допущения'!$C$85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'Допущения'!$C$87</f>
        <v/>
      </c>
      <c r="D39" s="21">
        <f>'Допущения'!$C$87</f>
        <v/>
      </c>
      <c r="E39" s="21">
        <f>'Допущения'!$C$87</f>
        <v/>
      </c>
      <c r="F39" s="21">
        <f>'Допущения'!$C$87</f>
        <v/>
      </c>
      <c r="G39" s="21">
        <f>'Допущения'!$C$87</f>
        <v/>
      </c>
      <c r="H39" s="21">
        <f>'Допущения'!$C$87</f>
        <v/>
      </c>
      <c r="I39" s="21">
        <f>'Допущения'!$C$87</f>
        <v/>
      </c>
      <c r="J39" s="21">
        <f>'Допущения'!$C$87</f>
        <v/>
      </c>
      <c r="K39" s="21">
        <f>'Допущения'!$C$87</f>
        <v/>
      </c>
      <c r="L39" s="21">
        <f>'Допущения'!$C$87</f>
        <v/>
      </c>
      <c r="M39" s="21">
        <f>'Допущения'!$C$87</f>
        <v/>
      </c>
      <c r="N39" s="21">
        <f>'Допущения'!$C$87</f>
        <v/>
      </c>
      <c r="O39" s="21">
        <f>'Допущения'!$C$87</f>
        <v/>
      </c>
      <c r="P39" s="21">
        <f>'Допущения'!$C$87</f>
        <v/>
      </c>
      <c r="Q39" s="21">
        <f>'Допущения'!$C$87</f>
        <v/>
      </c>
      <c r="R39" s="21">
        <f>'Допущения'!$C$87</f>
        <v/>
      </c>
      <c r="S39" s="21">
        <f>'Допущения'!$C$87</f>
        <v/>
      </c>
      <c r="T39" s="21">
        <f>'Допущения'!$C$87</f>
        <v/>
      </c>
      <c r="U39" s="21">
        <f>'Допущения'!$C$87</f>
        <v/>
      </c>
      <c r="V39" s="21">
        <f>'Допущения'!$C$87</f>
        <v/>
      </c>
      <c r="W39" s="21">
        <f>'Допущения'!$C$87</f>
        <v/>
      </c>
      <c r="X39" s="21">
        <f>'Допущения'!$C$87</f>
        <v/>
      </c>
      <c r="Y39" s="21">
        <f>'Допущения'!$C$87</f>
        <v/>
      </c>
      <c r="Z39" s="21">
        <f>'Допущения'!$C$87</f>
        <v/>
      </c>
      <c r="AA39" s="21">
        <f>'Допущения'!$C$87</f>
        <v/>
      </c>
      <c r="AB39" s="21">
        <f>'Допущения'!$C$87</f>
        <v/>
      </c>
      <c r="AC39" s="21">
        <f>'Допущения'!$C$87</f>
        <v/>
      </c>
      <c r="AD39" s="21">
        <f>'Допущения'!$C$87</f>
        <v/>
      </c>
      <c r="AE39" s="21">
        <f>'Допущения'!$C$87</f>
        <v/>
      </c>
      <c r="AF39" s="21">
        <f>'Допущения'!$C$87</f>
        <v/>
      </c>
      <c r="AG39" s="21">
        <f>'Допущения'!$C$87</f>
        <v/>
      </c>
      <c r="AH39" s="21">
        <f>'Допущения'!$C$87</f>
        <v/>
      </c>
      <c r="AI39" s="21">
        <f>'Допущения'!$C$87</f>
        <v/>
      </c>
      <c r="AJ39" s="21">
        <f>'Допущения'!$C$87</f>
        <v/>
      </c>
      <c r="AK39" s="21">
        <f>'Допущения'!$C$87</f>
        <v/>
      </c>
      <c r="AL39" s="21">
        <f>'Допущения'!$C$87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IF(C6&gt;='Допущения'!$C$10,'Допущения'!$C$88,0)</f>
        <v/>
      </c>
      <c r="D40" s="21">
        <f>IF(D6&gt;='Допущения'!$C$10,'Допущения'!$C$88,0)</f>
        <v/>
      </c>
      <c r="E40" s="21">
        <f>IF(E6&gt;='Допущения'!$C$10,'Допущения'!$C$88,0)</f>
        <v/>
      </c>
      <c r="F40" s="21">
        <f>IF(F6&gt;='Допущения'!$C$10,'Допущения'!$C$88,0)</f>
        <v/>
      </c>
      <c r="G40" s="21">
        <f>IF(G6&gt;='Допущения'!$C$10,'Допущения'!$C$88,0)</f>
        <v/>
      </c>
      <c r="H40" s="21">
        <f>IF(H6&gt;='Допущения'!$C$10,'Допущения'!$C$88,0)</f>
        <v/>
      </c>
      <c r="I40" s="21">
        <f>IF(I6&gt;='Допущения'!$C$10,'Допущения'!$C$88,0)</f>
        <v/>
      </c>
      <c r="J40" s="21">
        <f>IF(J6&gt;='Допущения'!$C$10,'Допущения'!$C$88,0)</f>
        <v/>
      </c>
      <c r="K40" s="21">
        <f>IF(K6&gt;='Допущения'!$C$10,'Допущения'!$C$88,0)</f>
        <v/>
      </c>
      <c r="L40" s="21">
        <f>IF(L6&gt;='Допущения'!$C$10,'Допущения'!$C$88,0)</f>
        <v/>
      </c>
      <c r="M40" s="21">
        <f>IF(M6&gt;='Допущения'!$C$10,'Допущения'!$C$88,0)</f>
        <v/>
      </c>
      <c r="N40" s="21">
        <f>IF(N6&gt;='Допущения'!$C$10,'Допущения'!$C$88,0)</f>
        <v/>
      </c>
      <c r="O40" s="21">
        <f>IF(O6&gt;='Допущения'!$C$10,'Допущения'!$C$88,0)</f>
        <v/>
      </c>
      <c r="P40" s="21">
        <f>IF(P6&gt;='Допущения'!$C$10,'Допущения'!$C$88,0)</f>
        <v/>
      </c>
      <c r="Q40" s="21">
        <f>IF(Q6&gt;='Допущения'!$C$10,'Допущения'!$C$88,0)</f>
        <v/>
      </c>
      <c r="R40" s="21">
        <f>IF(R6&gt;='Допущения'!$C$10,'Допущения'!$C$88,0)</f>
        <v/>
      </c>
      <c r="S40" s="21">
        <f>IF(S6&gt;='Допущения'!$C$10,'Допущения'!$C$88,0)</f>
        <v/>
      </c>
      <c r="T40" s="21">
        <f>IF(T6&gt;='Допущения'!$C$10,'Допущения'!$C$88,0)</f>
        <v/>
      </c>
      <c r="U40" s="21">
        <f>IF(U6&gt;='Допущения'!$C$10,'Допущения'!$C$88,0)</f>
        <v/>
      </c>
      <c r="V40" s="21">
        <f>IF(V6&gt;='Допущения'!$C$10,'Допущения'!$C$88,0)</f>
        <v/>
      </c>
      <c r="W40" s="21">
        <f>IF(W6&gt;='Допущения'!$C$10,'Допущения'!$C$88,0)</f>
        <v/>
      </c>
      <c r="X40" s="21">
        <f>IF(X6&gt;='Допущения'!$C$10,'Допущения'!$C$88,0)</f>
        <v/>
      </c>
      <c r="Y40" s="21">
        <f>IF(Y6&gt;='Допущения'!$C$10,'Допущения'!$C$88,0)</f>
        <v/>
      </c>
      <c r="Z40" s="21">
        <f>IF(Z6&gt;='Допущения'!$C$10,'Допущения'!$C$88,0)</f>
        <v/>
      </c>
      <c r="AA40" s="21">
        <f>IF(AA6&gt;='Допущения'!$C$10,'Допущения'!$C$88,0)</f>
        <v/>
      </c>
      <c r="AB40" s="21">
        <f>IF(AB6&gt;='Допущения'!$C$10,'Допущения'!$C$88,0)</f>
        <v/>
      </c>
      <c r="AC40" s="21">
        <f>IF(AC6&gt;='Допущения'!$C$10,'Допущения'!$C$88,0)</f>
        <v/>
      </c>
      <c r="AD40" s="21">
        <f>IF(AD6&gt;='Допущения'!$C$10,'Допущения'!$C$88,0)</f>
        <v/>
      </c>
      <c r="AE40" s="21">
        <f>IF(AE6&gt;='Допущения'!$C$10,'Допущения'!$C$88,0)</f>
        <v/>
      </c>
      <c r="AF40" s="21">
        <f>IF(AF6&gt;='Допущения'!$C$10,'Допущения'!$C$88,0)</f>
        <v/>
      </c>
      <c r="AG40" s="21">
        <f>IF(AG6&gt;='Допущения'!$C$10,'Допущения'!$C$88,0)</f>
        <v/>
      </c>
      <c r="AH40" s="21">
        <f>IF(AH6&gt;='Допущения'!$C$10,'Допущения'!$C$88,0)</f>
        <v/>
      </c>
      <c r="AI40" s="21">
        <f>IF(AI6&gt;='Допущения'!$C$10,'Допущения'!$C$88,0)</f>
        <v/>
      </c>
      <c r="AJ40" s="21">
        <f>IF(AJ6&gt;='Допущения'!$C$10,'Допущения'!$C$88,0)</f>
        <v/>
      </c>
      <c r="AK40" s="21">
        <f>IF(AK6&gt;='Допущения'!$C$10,'Допущения'!$C$88,0)</f>
        <v/>
      </c>
      <c r="AL40" s="21">
        <f>IF(AL6&gt;='Допущения'!$C$10,'Допущения'!$C$88,0)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IF(C9=1,'Допущения'!$C$89,0)</f>
        <v/>
      </c>
      <c r="D41" s="21">
        <f>IF(D9=1,'Допущения'!$C$89,0)</f>
        <v/>
      </c>
      <c r="E41" s="21">
        <f>IF(E9=1,'Допущения'!$C$89,0)</f>
        <v/>
      </c>
      <c r="F41" s="21">
        <f>IF(F9=1,'Допущения'!$C$89,0)</f>
        <v/>
      </c>
      <c r="G41" s="21">
        <f>IF(G9=1,'Допущения'!$C$89,0)</f>
        <v/>
      </c>
      <c r="H41" s="21">
        <f>IF(H9=1,'Допущения'!$C$89,0)</f>
        <v/>
      </c>
      <c r="I41" s="21">
        <f>IF(I9=1,'Допущения'!$C$89,0)</f>
        <v/>
      </c>
      <c r="J41" s="21">
        <f>IF(J9=1,'Допущения'!$C$89,0)</f>
        <v/>
      </c>
      <c r="K41" s="21">
        <f>IF(K9=1,'Допущения'!$C$89,0)</f>
        <v/>
      </c>
      <c r="L41" s="21">
        <f>IF(L9=1,'Допущения'!$C$89,0)</f>
        <v/>
      </c>
      <c r="M41" s="21">
        <f>IF(M9=1,'Допущения'!$C$89,0)</f>
        <v/>
      </c>
      <c r="N41" s="21">
        <f>IF(N9=1,'Допущения'!$C$89,0)</f>
        <v/>
      </c>
      <c r="O41" s="21">
        <f>IF(O9=1,'Допущения'!$C$89,0)</f>
        <v/>
      </c>
      <c r="P41" s="21">
        <f>IF(P9=1,'Допущения'!$C$89,0)</f>
        <v/>
      </c>
      <c r="Q41" s="21">
        <f>IF(Q9=1,'Допущения'!$C$89,0)</f>
        <v/>
      </c>
      <c r="R41" s="21">
        <f>IF(R9=1,'Допущения'!$C$89,0)</f>
        <v/>
      </c>
      <c r="S41" s="21">
        <f>IF(S9=1,'Допущения'!$C$89,0)</f>
        <v/>
      </c>
      <c r="T41" s="21">
        <f>IF(T9=1,'Допущения'!$C$89,0)</f>
        <v/>
      </c>
      <c r="U41" s="21">
        <f>IF(U9=1,'Допущения'!$C$89,0)</f>
        <v/>
      </c>
      <c r="V41" s="21">
        <f>IF(V9=1,'Допущения'!$C$89,0)</f>
        <v/>
      </c>
      <c r="W41" s="21">
        <f>IF(W9=1,'Допущения'!$C$89,0)</f>
        <v/>
      </c>
      <c r="X41" s="21">
        <f>IF(X9=1,'Допущения'!$C$89,0)</f>
        <v/>
      </c>
      <c r="Y41" s="21">
        <f>IF(Y9=1,'Допущения'!$C$89,0)</f>
        <v/>
      </c>
      <c r="Z41" s="21">
        <f>IF(Z9=1,'Допущения'!$C$89,0)</f>
        <v/>
      </c>
      <c r="AA41" s="21">
        <f>IF(AA9=1,'Допущения'!$C$89,0)</f>
        <v/>
      </c>
      <c r="AB41" s="21">
        <f>IF(AB9=1,'Допущения'!$C$89,0)</f>
        <v/>
      </c>
      <c r="AC41" s="21">
        <f>IF(AC9=1,'Допущения'!$C$89,0)</f>
        <v/>
      </c>
      <c r="AD41" s="21">
        <f>IF(AD9=1,'Допущения'!$C$89,0)</f>
        <v/>
      </c>
      <c r="AE41" s="21">
        <f>IF(AE9=1,'Допущения'!$C$89,0)</f>
        <v/>
      </c>
      <c r="AF41" s="21">
        <f>IF(AF9=1,'Допущения'!$C$89,0)</f>
        <v/>
      </c>
      <c r="AG41" s="21">
        <f>IF(AG9=1,'Допущения'!$C$89,0)</f>
        <v/>
      </c>
      <c r="AH41" s="21">
        <f>IF(AH9=1,'Допущения'!$C$89,0)</f>
        <v/>
      </c>
      <c r="AI41" s="21">
        <f>IF(AI9=1,'Допущения'!$C$89,0)</f>
        <v/>
      </c>
      <c r="AJ41" s="21">
        <f>IF(AJ9=1,'Допущения'!$C$89,0)</f>
        <v/>
      </c>
      <c r="AK41" s="21">
        <f>IF(AK9=1,'Допущения'!$C$89,0)</f>
        <v/>
      </c>
      <c r="AL41" s="21">
        <f>IF(AL9=1,'Допущения'!$C$89,0)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IF(C6='Допущения'!$C$9-1,'Допущения'!$C$90+'Допущения'!$C$91,0)+IF(AND(C6&gt;'Допущения'!$C$9-1,MOD(C6-('Допущения'!$C$9-1),12)=0),'Допущения'!$C$90,0)</f>
        <v/>
      </c>
      <c r="D42" s="21">
        <f>IF(D6='Допущения'!$C$9-1,'Допущения'!$C$90+'Допущения'!$C$91,0)+IF(AND(D6&gt;'Допущения'!$C$9-1,MOD(D6-('Допущения'!$C$9-1),12)=0),'Допущения'!$C$90,0)</f>
        <v/>
      </c>
      <c r="E42" s="21">
        <f>IF(E6='Допущения'!$C$9-1,'Допущения'!$C$90+'Допущения'!$C$91,0)+IF(AND(E6&gt;'Допущения'!$C$9-1,MOD(E6-('Допущения'!$C$9-1),12)=0),'Допущения'!$C$90,0)</f>
        <v/>
      </c>
      <c r="F42" s="21">
        <f>IF(F6='Допущения'!$C$9-1,'Допущения'!$C$90+'Допущения'!$C$91,0)+IF(AND(F6&gt;'Допущения'!$C$9-1,MOD(F6-('Допущения'!$C$9-1),12)=0),'Допущения'!$C$90,0)</f>
        <v/>
      </c>
      <c r="G42" s="21">
        <f>IF(G6='Допущения'!$C$9-1,'Допущения'!$C$90+'Допущения'!$C$91,0)+IF(AND(G6&gt;'Допущения'!$C$9-1,MOD(G6-('Допущения'!$C$9-1),12)=0),'Допущения'!$C$90,0)</f>
        <v/>
      </c>
      <c r="H42" s="21">
        <f>IF(H6='Допущения'!$C$9-1,'Допущения'!$C$90+'Допущения'!$C$91,0)+IF(AND(H6&gt;'Допущения'!$C$9-1,MOD(H6-('Допущения'!$C$9-1),12)=0),'Допущения'!$C$90,0)</f>
        <v/>
      </c>
      <c r="I42" s="21">
        <f>IF(I6='Допущения'!$C$9-1,'Допущения'!$C$90+'Допущения'!$C$91,0)+IF(AND(I6&gt;'Допущения'!$C$9-1,MOD(I6-('Допущения'!$C$9-1),12)=0),'Допущения'!$C$90,0)</f>
        <v/>
      </c>
      <c r="J42" s="21">
        <f>IF(J6='Допущения'!$C$9-1,'Допущения'!$C$90+'Допущения'!$C$91,0)+IF(AND(J6&gt;'Допущения'!$C$9-1,MOD(J6-('Допущения'!$C$9-1),12)=0),'Допущения'!$C$90,0)</f>
        <v/>
      </c>
      <c r="K42" s="21">
        <f>IF(K6='Допущения'!$C$9-1,'Допущения'!$C$90+'Допущения'!$C$91,0)+IF(AND(K6&gt;'Допущения'!$C$9-1,MOD(K6-('Допущения'!$C$9-1),12)=0),'Допущения'!$C$90,0)</f>
        <v/>
      </c>
      <c r="L42" s="21">
        <f>IF(L6='Допущения'!$C$9-1,'Допущения'!$C$90+'Допущения'!$C$91,0)+IF(AND(L6&gt;'Допущения'!$C$9-1,MOD(L6-('Допущения'!$C$9-1),12)=0),'Допущения'!$C$90,0)</f>
        <v/>
      </c>
      <c r="M42" s="21">
        <f>IF(M6='Допущения'!$C$9-1,'Допущения'!$C$90+'Допущения'!$C$91,0)+IF(AND(M6&gt;'Допущения'!$C$9-1,MOD(M6-('Допущения'!$C$9-1),12)=0),'Допущения'!$C$90,0)</f>
        <v/>
      </c>
      <c r="N42" s="21">
        <f>IF(N6='Допущения'!$C$9-1,'Допущения'!$C$90+'Допущения'!$C$91,0)+IF(AND(N6&gt;'Допущения'!$C$9-1,MOD(N6-('Допущения'!$C$9-1),12)=0),'Допущения'!$C$90,0)</f>
        <v/>
      </c>
      <c r="O42" s="21">
        <f>IF(O6='Допущения'!$C$9-1,'Допущения'!$C$90+'Допущения'!$C$91,0)+IF(AND(O6&gt;'Допущения'!$C$9-1,MOD(O6-('Допущения'!$C$9-1),12)=0),'Допущения'!$C$90,0)</f>
        <v/>
      </c>
      <c r="P42" s="21">
        <f>IF(P6='Допущения'!$C$9-1,'Допущения'!$C$90+'Допущения'!$C$91,0)+IF(AND(P6&gt;'Допущения'!$C$9-1,MOD(P6-('Допущения'!$C$9-1),12)=0),'Допущения'!$C$90,0)</f>
        <v/>
      </c>
      <c r="Q42" s="21">
        <f>IF(Q6='Допущения'!$C$9-1,'Допущения'!$C$90+'Допущения'!$C$91,0)+IF(AND(Q6&gt;'Допущения'!$C$9-1,MOD(Q6-('Допущения'!$C$9-1),12)=0),'Допущения'!$C$90,0)</f>
        <v/>
      </c>
      <c r="R42" s="21">
        <f>IF(R6='Допущения'!$C$9-1,'Допущения'!$C$90+'Допущения'!$C$91,0)+IF(AND(R6&gt;'Допущения'!$C$9-1,MOD(R6-('Допущения'!$C$9-1),12)=0),'Допущения'!$C$90,0)</f>
        <v/>
      </c>
      <c r="S42" s="21">
        <f>IF(S6='Допущения'!$C$9-1,'Допущения'!$C$90+'Допущения'!$C$91,0)+IF(AND(S6&gt;'Допущения'!$C$9-1,MOD(S6-('Допущения'!$C$9-1),12)=0),'Допущения'!$C$90,0)</f>
        <v/>
      </c>
      <c r="T42" s="21">
        <f>IF(T6='Допущения'!$C$9-1,'Допущения'!$C$90+'Допущения'!$C$91,0)+IF(AND(T6&gt;'Допущения'!$C$9-1,MOD(T6-('Допущения'!$C$9-1),12)=0),'Допущения'!$C$90,0)</f>
        <v/>
      </c>
      <c r="U42" s="21">
        <f>IF(U6='Допущения'!$C$9-1,'Допущения'!$C$90+'Допущения'!$C$91,0)+IF(AND(U6&gt;'Допущения'!$C$9-1,MOD(U6-('Допущения'!$C$9-1),12)=0),'Допущения'!$C$90,0)</f>
        <v/>
      </c>
      <c r="V42" s="21">
        <f>IF(V6='Допущения'!$C$9-1,'Допущения'!$C$90+'Допущения'!$C$91,0)+IF(AND(V6&gt;'Допущения'!$C$9-1,MOD(V6-('Допущения'!$C$9-1),12)=0),'Допущения'!$C$90,0)</f>
        <v/>
      </c>
      <c r="W42" s="21">
        <f>IF(W6='Допущения'!$C$9-1,'Допущения'!$C$90+'Допущения'!$C$91,0)+IF(AND(W6&gt;'Допущения'!$C$9-1,MOD(W6-('Допущения'!$C$9-1),12)=0),'Допущения'!$C$90,0)</f>
        <v/>
      </c>
      <c r="X42" s="21">
        <f>IF(X6='Допущения'!$C$9-1,'Допущения'!$C$90+'Допущения'!$C$91,0)+IF(AND(X6&gt;'Допущения'!$C$9-1,MOD(X6-('Допущения'!$C$9-1),12)=0),'Допущения'!$C$90,0)</f>
        <v/>
      </c>
      <c r="Y42" s="21">
        <f>IF(Y6='Допущения'!$C$9-1,'Допущения'!$C$90+'Допущения'!$C$91,0)+IF(AND(Y6&gt;'Допущения'!$C$9-1,MOD(Y6-('Допущения'!$C$9-1),12)=0),'Допущения'!$C$90,0)</f>
        <v/>
      </c>
      <c r="Z42" s="21">
        <f>IF(Z6='Допущения'!$C$9-1,'Допущения'!$C$90+'Допущения'!$C$91,0)+IF(AND(Z6&gt;'Допущения'!$C$9-1,MOD(Z6-('Допущения'!$C$9-1),12)=0),'Допущения'!$C$90,0)</f>
        <v/>
      </c>
      <c r="AA42" s="21">
        <f>IF(AA6='Допущения'!$C$9-1,'Допущения'!$C$90+'Допущения'!$C$91,0)+IF(AND(AA6&gt;'Допущения'!$C$9-1,MOD(AA6-('Допущения'!$C$9-1),12)=0),'Допущения'!$C$90,0)</f>
        <v/>
      </c>
      <c r="AB42" s="21">
        <f>IF(AB6='Допущения'!$C$9-1,'Допущения'!$C$90+'Допущения'!$C$91,0)+IF(AND(AB6&gt;'Допущения'!$C$9-1,MOD(AB6-('Допущения'!$C$9-1),12)=0),'Допущения'!$C$90,0)</f>
        <v/>
      </c>
      <c r="AC42" s="21">
        <f>IF(AC6='Допущения'!$C$9-1,'Допущения'!$C$90+'Допущения'!$C$91,0)+IF(AND(AC6&gt;'Допущения'!$C$9-1,MOD(AC6-('Допущения'!$C$9-1),12)=0),'Допущения'!$C$90,0)</f>
        <v/>
      </c>
      <c r="AD42" s="21">
        <f>IF(AD6='Допущения'!$C$9-1,'Допущения'!$C$90+'Допущения'!$C$91,0)+IF(AND(AD6&gt;'Допущения'!$C$9-1,MOD(AD6-('Допущения'!$C$9-1),12)=0),'Допущения'!$C$90,0)</f>
        <v/>
      </c>
      <c r="AE42" s="21">
        <f>IF(AE6='Допущения'!$C$9-1,'Допущения'!$C$90+'Допущения'!$C$91,0)+IF(AND(AE6&gt;'Допущения'!$C$9-1,MOD(AE6-('Допущения'!$C$9-1),12)=0),'Допущения'!$C$90,0)</f>
        <v/>
      </c>
      <c r="AF42" s="21">
        <f>IF(AF6='Допущения'!$C$9-1,'Допущения'!$C$90+'Допущения'!$C$91,0)+IF(AND(AF6&gt;'Допущения'!$C$9-1,MOD(AF6-('Допущения'!$C$9-1),12)=0),'Допущения'!$C$90,0)</f>
        <v/>
      </c>
      <c r="AG42" s="21">
        <f>IF(AG6='Допущения'!$C$9-1,'Допущения'!$C$90+'Допущения'!$C$91,0)+IF(AND(AG6&gt;'Допущения'!$C$9-1,MOD(AG6-('Допущения'!$C$9-1),12)=0),'Допущения'!$C$90,0)</f>
        <v/>
      </c>
      <c r="AH42" s="21">
        <f>IF(AH6='Допущения'!$C$9-1,'Допущения'!$C$90+'Допущения'!$C$91,0)+IF(AND(AH6&gt;'Допущения'!$C$9-1,MOD(AH6-('Допущения'!$C$9-1),12)=0),'Допущения'!$C$90,0)</f>
        <v/>
      </c>
      <c r="AI42" s="21">
        <f>IF(AI6='Допущения'!$C$9-1,'Допущения'!$C$90+'Допущения'!$C$91,0)+IF(AND(AI6&gt;'Допущения'!$C$9-1,MOD(AI6-('Допущения'!$C$9-1),12)=0),'Допущения'!$C$90,0)</f>
        <v/>
      </c>
      <c r="AJ42" s="21">
        <f>IF(AJ6='Допущения'!$C$9-1,'Допущения'!$C$90+'Допущения'!$C$91,0)+IF(AND(AJ6&gt;'Допущения'!$C$9-1,MOD(AJ6-('Допущения'!$C$9-1),12)=0),'Допущения'!$C$90,0)</f>
        <v/>
      </c>
      <c r="AK42" s="21">
        <f>IF(AK6='Допущения'!$C$9-1,'Допущения'!$C$90+'Допущения'!$C$91,0)+IF(AND(AK6&gt;'Допущения'!$C$9-1,MOD(AK6-('Допущения'!$C$9-1),12)=0),'Допущения'!$C$90,0)</f>
        <v/>
      </c>
      <c r="AL42" s="21">
        <f>IF(AL6='Допущения'!$C$9-1,'Допущения'!$C$90+'Допущения'!$C$91,0)+IF(AND(AL6&gt;'Допущения'!$C$9-1,MOD(AL6-('Допущения'!$C$9-1),12)=0),'Допущения'!$C$90,0)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IF(C6&gt;'Допущения'!$C$9,'Допущения'!$C$92,0)</f>
        <v/>
      </c>
      <c r="D44" s="21">
        <f>IF(D6&gt;'Допущения'!$C$9,'Допущения'!$C$92,0)</f>
        <v/>
      </c>
      <c r="E44" s="21">
        <f>IF(E6&gt;'Допущения'!$C$9,'Допущения'!$C$92,0)</f>
        <v/>
      </c>
      <c r="F44" s="21">
        <f>IF(F6&gt;'Допущения'!$C$9,'Допущения'!$C$92,0)</f>
        <v/>
      </c>
      <c r="G44" s="21">
        <f>IF(G6&gt;'Допущения'!$C$9,'Допущения'!$C$92,0)</f>
        <v/>
      </c>
      <c r="H44" s="21">
        <f>IF(H6&gt;'Допущения'!$C$9,'Допущения'!$C$92,0)</f>
        <v/>
      </c>
      <c r="I44" s="21">
        <f>IF(I6&gt;'Допущения'!$C$9,'Допущения'!$C$92,0)</f>
        <v/>
      </c>
      <c r="J44" s="21">
        <f>IF(J6&gt;'Допущения'!$C$9,'Допущения'!$C$92,0)</f>
        <v/>
      </c>
      <c r="K44" s="21">
        <f>IF(K6&gt;'Допущения'!$C$9,'Допущения'!$C$92,0)</f>
        <v/>
      </c>
      <c r="L44" s="21">
        <f>IF(L6&gt;'Допущения'!$C$9,'Допущения'!$C$92,0)</f>
        <v/>
      </c>
      <c r="M44" s="21">
        <f>IF(M6&gt;'Допущения'!$C$9,'Допущения'!$C$92,0)</f>
        <v/>
      </c>
      <c r="N44" s="21">
        <f>IF(N6&gt;'Допущения'!$C$9,'Допущения'!$C$92,0)</f>
        <v/>
      </c>
      <c r="O44" s="21">
        <f>IF(O6&gt;'Допущения'!$C$9,'Допущения'!$C$92,0)</f>
        <v/>
      </c>
      <c r="P44" s="21">
        <f>IF(P6&gt;'Допущения'!$C$9,'Допущения'!$C$92,0)</f>
        <v/>
      </c>
      <c r="Q44" s="21">
        <f>IF(Q6&gt;'Допущения'!$C$9,'Допущения'!$C$92,0)</f>
        <v/>
      </c>
      <c r="R44" s="21">
        <f>IF(R6&gt;'Допущения'!$C$9,'Допущения'!$C$92,0)</f>
        <v/>
      </c>
      <c r="S44" s="21">
        <f>IF(S6&gt;'Допущения'!$C$9,'Допущения'!$C$92,0)</f>
        <v/>
      </c>
      <c r="T44" s="21">
        <f>IF(T6&gt;'Допущения'!$C$9,'Допущения'!$C$92,0)</f>
        <v/>
      </c>
      <c r="U44" s="21">
        <f>IF(U6&gt;'Допущения'!$C$9,'Допущения'!$C$92,0)</f>
        <v/>
      </c>
      <c r="V44" s="21">
        <f>IF(V6&gt;'Допущения'!$C$9,'Допущения'!$C$92,0)</f>
        <v/>
      </c>
      <c r="W44" s="21">
        <f>IF(W6&gt;'Допущения'!$C$9,'Допущения'!$C$92,0)</f>
        <v/>
      </c>
      <c r="X44" s="21">
        <f>IF(X6&gt;'Допущения'!$C$9,'Допущения'!$C$92,0)</f>
        <v/>
      </c>
      <c r="Y44" s="21">
        <f>IF(Y6&gt;'Допущения'!$C$9,'Допущения'!$C$92,0)</f>
        <v/>
      </c>
      <c r="Z44" s="21">
        <f>IF(Z6&gt;'Допущения'!$C$9,'Допущения'!$C$92,0)</f>
        <v/>
      </c>
      <c r="AA44" s="21">
        <f>IF(AA6&gt;'Допущения'!$C$9,'Допущения'!$C$92,0)</f>
        <v/>
      </c>
      <c r="AB44" s="21">
        <f>IF(AB6&gt;'Допущения'!$C$9,'Допущения'!$C$92,0)</f>
        <v/>
      </c>
      <c r="AC44" s="21">
        <f>IF(AC6&gt;'Допущения'!$C$9,'Допущения'!$C$92,0)</f>
        <v/>
      </c>
      <c r="AD44" s="21">
        <f>IF(AD6&gt;'Допущения'!$C$9,'Допущения'!$C$92,0)</f>
        <v/>
      </c>
      <c r="AE44" s="21">
        <f>IF(AE6&gt;'Допущения'!$C$9,'Допущения'!$C$92,0)</f>
        <v/>
      </c>
      <c r="AF44" s="21">
        <f>IF(AF6&gt;'Допущения'!$C$9,'Допущения'!$C$92,0)</f>
        <v/>
      </c>
      <c r="AG44" s="21">
        <f>IF(AG6&gt;'Допущения'!$C$9,'Допущения'!$C$92,0)</f>
        <v/>
      </c>
      <c r="AH44" s="21">
        <f>IF(AH6&gt;'Допущения'!$C$9,'Допущения'!$C$92,0)</f>
        <v/>
      </c>
      <c r="AI44" s="21">
        <f>IF(AI6&gt;'Допущения'!$C$9,'Допущения'!$C$92,0)</f>
        <v/>
      </c>
      <c r="AJ44" s="21">
        <f>IF(AJ6&gt;'Допущения'!$C$9,'Допущения'!$C$92,0)</f>
        <v/>
      </c>
      <c r="AK44" s="21">
        <f>IF(AK6&gt;'Допущения'!$C$9,'Допущения'!$C$92,0)</f>
        <v/>
      </c>
      <c r="AL44" s="21">
        <f>IF(AL6&gt;'Допущения'!$C$9,'Допущения'!$C$92,0)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IF(C6&gt;='Допущения'!$C$94,MIN('Допущения'!$C$95,MAX(0,'Допущения'!$C$96*(0+0))),0)</f>
        <v/>
      </c>
      <c r="D46" s="21">
        <f>IF(D6&gt;='Допущения'!$C$94,MIN('Допущения'!$C$95,MAX(0,'Допущения'!$C$96*(C48+C46))),0)</f>
        <v/>
      </c>
      <c r="E46" s="21">
        <f>IF(E6&gt;='Допущения'!$C$94,MIN('Допущения'!$C$95,MAX(0,'Допущения'!$C$96*(D48+D46))),0)</f>
        <v/>
      </c>
      <c r="F46" s="21">
        <f>IF(F6&gt;='Допущения'!$C$94,MIN('Допущения'!$C$95,MAX(0,'Допущения'!$C$96*(E48+E46))),0)</f>
        <v/>
      </c>
      <c r="G46" s="21">
        <f>IF(G6&gt;='Допущения'!$C$94,MIN('Допущения'!$C$95,MAX(0,'Допущения'!$C$96*(F48+F46))),0)</f>
        <v/>
      </c>
      <c r="H46" s="21">
        <f>IF(H6&gt;='Допущения'!$C$94,MIN('Допущения'!$C$95,MAX(0,'Допущения'!$C$96*(G48+G46))),0)</f>
        <v/>
      </c>
      <c r="I46" s="21">
        <f>IF(I6&gt;='Допущения'!$C$94,MIN('Допущения'!$C$95,MAX(0,'Допущения'!$C$96*(H48+H46))),0)</f>
        <v/>
      </c>
      <c r="J46" s="21">
        <f>IF(J6&gt;='Допущения'!$C$94,MIN('Допущения'!$C$95,MAX(0,'Допущения'!$C$96*(I48+I46))),0)</f>
        <v/>
      </c>
      <c r="K46" s="21">
        <f>IF(K6&gt;='Допущения'!$C$94,MIN('Допущения'!$C$95,MAX(0,'Допущения'!$C$96*(J48+J46))),0)</f>
        <v/>
      </c>
      <c r="L46" s="21">
        <f>IF(L6&gt;='Допущения'!$C$94,MIN('Допущения'!$C$95,MAX(0,'Допущения'!$C$96*(K48+K46))),0)</f>
        <v/>
      </c>
      <c r="M46" s="21">
        <f>IF(M6&gt;='Допущения'!$C$94,MIN('Допущения'!$C$95,MAX(0,'Допущения'!$C$96*(L48+L46))),0)</f>
        <v/>
      </c>
      <c r="N46" s="21">
        <f>IF(N6&gt;='Допущения'!$C$94,MIN('Допущения'!$C$95,MAX(0,'Допущения'!$C$96*(M48+M46))),0)</f>
        <v/>
      </c>
      <c r="O46" s="21">
        <f>IF(O6&gt;='Допущения'!$C$94,MIN('Допущения'!$C$95,MAX(0,'Допущения'!$C$96*(N48+N46))),0)</f>
        <v/>
      </c>
      <c r="P46" s="21">
        <f>IF(P6&gt;='Допущения'!$C$94,MIN('Допущения'!$C$95,MAX(0,'Допущения'!$C$96*(O48+O46))),0)</f>
        <v/>
      </c>
      <c r="Q46" s="21">
        <f>IF(Q6&gt;='Допущения'!$C$94,MIN('Допущения'!$C$95,MAX(0,'Допущения'!$C$96*(P48+P46))),0)</f>
        <v/>
      </c>
      <c r="R46" s="21">
        <f>IF(R6&gt;='Допущения'!$C$94,MIN('Допущения'!$C$95,MAX(0,'Допущения'!$C$96*(Q48+Q46))),0)</f>
        <v/>
      </c>
      <c r="S46" s="21">
        <f>IF(S6&gt;='Допущения'!$C$94,MIN('Допущения'!$C$95,MAX(0,'Допущения'!$C$96*(R48+R46))),0)</f>
        <v/>
      </c>
      <c r="T46" s="21">
        <f>IF(T6&gt;='Допущения'!$C$94,MIN('Допущения'!$C$95,MAX(0,'Допущения'!$C$96*(S48+S46))),0)</f>
        <v/>
      </c>
      <c r="U46" s="21">
        <f>IF(U6&gt;='Допущения'!$C$94,MIN('Допущения'!$C$95,MAX(0,'Допущения'!$C$96*(T48+T46))),0)</f>
        <v/>
      </c>
      <c r="V46" s="21">
        <f>IF(V6&gt;='Допущения'!$C$94,MIN('Допущения'!$C$95,MAX(0,'Допущения'!$C$96*(U48+U46))),0)</f>
        <v/>
      </c>
      <c r="W46" s="21">
        <f>IF(W6&gt;='Допущения'!$C$94,MIN('Допущения'!$C$95,MAX(0,'Допущения'!$C$96*(V48+V46))),0)</f>
        <v/>
      </c>
      <c r="X46" s="21">
        <f>IF(X6&gt;='Допущения'!$C$94,MIN('Допущения'!$C$95,MAX(0,'Допущения'!$C$96*(W48+W46))),0)</f>
        <v/>
      </c>
      <c r="Y46" s="21">
        <f>IF(Y6&gt;='Допущения'!$C$94,MIN('Допущения'!$C$95,MAX(0,'Допущения'!$C$96*(X48+X46))),0)</f>
        <v/>
      </c>
      <c r="Z46" s="21">
        <f>IF(Z6&gt;='Допущения'!$C$94,MIN('Допущения'!$C$95,MAX(0,'Допущения'!$C$96*(Y48+Y46))),0)</f>
        <v/>
      </c>
      <c r="AA46" s="21">
        <f>IF(AA6&gt;='Допущения'!$C$94,MIN('Допущения'!$C$95,MAX(0,'Допущения'!$C$96*(Z48+Z46))),0)</f>
        <v/>
      </c>
      <c r="AB46" s="21">
        <f>IF(AB6&gt;='Допущения'!$C$94,MIN('Допущения'!$C$95,MAX(0,'Допущения'!$C$96*(AA48+AA46))),0)</f>
        <v/>
      </c>
      <c r="AC46" s="21">
        <f>IF(AC6&gt;='Допущения'!$C$94,MIN('Допущения'!$C$95,MAX(0,'Допущения'!$C$96*(AB48+AB46))),0)</f>
        <v/>
      </c>
      <c r="AD46" s="21">
        <f>IF(AD6&gt;='Допущения'!$C$94,MIN('Допущения'!$C$95,MAX(0,'Допущения'!$C$96*(AC48+AC46))),0)</f>
        <v/>
      </c>
      <c r="AE46" s="21">
        <f>IF(AE6&gt;='Допущения'!$C$94,MIN('Допущения'!$C$95,MAX(0,'Допущения'!$C$96*(AD48+AD46))),0)</f>
        <v/>
      </c>
      <c r="AF46" s="21">
        <f>IF(AF6&gt;='Допущения'!$C$94,MIN('Допущения'!$C$95,MAX(0,'Допущения'!$C$96*(AE48+AE46))),0)</f>
        <v/>
      </c>
      <c r="AG46" s="21">
        <f>IF(AG6&gt;='Допущения'!$C$94,MIN('Допущения'!$C$95,MAX(0,'Допущения'!$C$96*(AF48+AF46))),0)</f>
        <v/>
      </c>
      <c r="AH46" s="21">
        <f>IF(AH6&gt;='Допущения'!$C$94,MIN('Допущения'!$C$95,MAX(0,'Допущения'!$C$96*(AG48+AG46))),0)</f>
        <v/>
      </c>
      <c r="AI46" s="21">
        <f>IF(AI6&gt;='Допущения'!$C$94,MIN('Допущения'!$C$95,MAX(0,'Допущения'!$C$96*(AH48+AH46))),0)</f>
        <v/>
      </c>
      <c r="AJ46" s="21">
        <f>IF(AJ6&gt;='Допущения'!$C$94,MIN('Допущения'!$C$95,MAX(0,'Допущения'!$C$96*(AI48+AI46))),0)</f>
        <v/>
      </c>
      <c r="AK46" s="21">
        <f>IF(AK6&gt;='Допущения'!$C$94,MIN('Допущения'!$C$95,MAX(0,'Допущения'!$C$96*(AJ48+AJ46))),0)</f>
        <v/>
      </c>
      <c r="AL46" s="21">
        <f>IF(AL6&gt;='Допущения'!$C$94,MIN('Допущения'!$C$95,MAX(0,'Допущения'!$C$96*(AK48+AK46))),0)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MAX(0,C48)*'Допущения'!$C$57</f>
        <v/>
      </c>
      <c r="D49" s="21">
        <f>MAX(0,D48)*'Допущения'!$C$57</f>
        <v/>
      </c>
      <c r="E49" s="21">
        <f>MAX(0,E48)*'Допущения'!$C$57</f>
        <v/>
      </c>
      <c r="F49" s="21">
        <f>MAX(0,F48)*'Допущения'!$C$57</f>
        <v/>
      </c>
      <c r="G49" s="21">
        <f>MAX(0,G48)*'Допущения'!$C$57</f>
        <v/>
      </c>
      <c r="H49" s="21">
        <f>MAX(0,H48)*'Допущения'!$C$57</f>
        <v/>
      </c>
      <c r="I49" s="21">
        <f>MAX(0,I48)*'Допущения'!$C$57</f>
        <v/>
      </c>
      <c r="J49" s="21">
        <f>MAX(0,J48)*'Допущения'!$C$57</f>
        <v/>
      </c>
      <c r="K49" s="21">
        <f>MAX(0,K48)*'Допущения'!$C$57</f>
        <v/>
      </c>
      <c r="L49" s="21">
        <f>MAX(0,L48)*'Допущения'!$C$57</f>
        <v/>
      </c>
      <c r="M49" s="21">
        <f>MAX(0,M48)*'Допущения'!$C$57</f>
        <v/>
      </c>
      <c r="N49" s="21">
        <f>MAX(0,N48)*'Допущения'!$C$57</f>
        <v/>
      </c>
      <c r="O49" s="21">
        <f>MAX(0,O48)*'Допущения'!$C$57</f>
        <v/>
      </c>
      <c r="P49" s="21">
        <f>MAX(0,P48)*'Допущения'!$C$57</f>
        <v/>
      </c>
      <c r="Q49" s="21">
        <f>MAX(0,Q48)*'Допущения'!$C$57</f>
        <v/>
      </c>
      <c r="R49" s="21">
        <f>MAX(0,R48)*'Допущения'!$C$57</f>
        <v/>
      </c>
      <c r="S49" s="21">
        <f>MAX(0,S48)*'Допущения'!$C$57</f>
        <v/>
      </c>
      <c r="T49" s="21">
        <f>MAX(0,T48)*'Допущения'!$C$57</f>
        <v/>
      </c>
      <c r="U49" s="21">
        <f>MAX(0,U48)*'Допущения'!$C$57</f>
        <v/>
      </c>
      <c r="V49" s="21">
        <f>MAX(0,V48)*'Допущения'!$C$57</f>
        <v/>
      </c>
      <c r="W49" s="21">
        <f>MAX(0,W48)*'Допущения'!$C$57</f>
        <v/>
      </c>
      <c r="X49" s="21">
        <f>MAX(0,X48)*'Допущения'!$C$57</f>
        <v/>
      </c>
      <c r="Y49" s="21">
        <f>MAX(0,Y48)*'Допущения'!$C$57</f>
        <v/>
      </c>
      <c r="Z49" s="21">
        <f>MAX(0,Z48)*'Допущения'!$C$57</f>
        <v/>
      </c>
      <c r="AA49" s="21">
        <f>MAX(0,AA48)*'Допущения'!$C$57</f>
        <v/>
      </c>
      <c r="AB49" s="21">
        <f>MAX(0,AB48)*'Допущения'!$C$57</f>
        <v/>
      </c>
      <c r="AC49" s="21">
        <f>MAX(0,AC48)*'Допущения'!$C$57</f>
        <v/>
      </c>
      <c r="AD49" s="21">
        <f>MAX(0,AD48)*'Допущения'!$C$57</f>
        <v/>
      </c>
      <c r="AE49" s="21">
        <f>MAX(0,AE48)*'Допущения'!$C$57</f>
        <v/>
      </c>
      <c r="AF49" s="21">
        <f>MAX(0,AF48)*'Допущения'!$C$57</f>
        <v/>
      </c>
      <c r="AG49" s="21">
        <f>MAX(0,AG48)*'Допущения'!$C$57</f>
        <v/>
      </c>
      <c r="AH49" s="21">
        <f>MAX(0,AH48)*'Допущения'!$C$57</f>
        <v/>
      </c>
      <c r="AI49" s="21">
        <f>MAX(0,AI48)*'Допущения'!$C$57</f>
        <v/>
      </c>
      <c r="AJ49" s="21">
        <f>MAX(0,AJ48)*'Допущения'!$C$57</f>
        <v/>
      </c>
      <c r="AK49" s="21">
        <f>MAX(0,AK48)*'Допущения'!$C$57</f>
        <v/>
      </c>
      <c r="AL49" s="21">
        <f>MAX(0,AL48)*'Допущения'!$C$57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(IF(C6=1,INDEX('Допущения'!$C$104:$C$106,'Допущения'!$D$103)*'Допущения'!$C$107,0)+IF(C6='Допущения'!$C$9,INDEX('Допущения'!$C$104:$C$106,'Допущения'!$D$103)*(1-'Допущения'!$C$107),0))/'Допущения'!$C$7</f>
        <v/>
      </c>
      <c r="D53" s="21">
        <f>(IF(D6=1,INDEX('Допущения'!$C$104:$C$106,'Допущения'!$D$103)*'Допущения'!$C$107,0)+IF(D6='Допущения'!$C$9,INDEX('Допущения'!$C$104:$C$106,'Допущения'!$D$103)*(1-'Допущения'!$C$107),0))/'Допущения'!$C$7</f>
        <v/>
      </c>
      <c r="E53" s="21">
        <f>(IF(E6=1,INDEX('Допущения'!$C$104:$C$106,'Допущения'!$D$103)*'Допущения'!$C$107,0)+IF(E6='Допущения'!$C$9,INDEX('Допущения'!$C$104:$C$106,'Допущения'!$D$103)*(1-'Допущения'!$C$107),0))/'Допущения'!$C$7</f>
        <v/>
      </c>
      <c r="F53" s="21">
        <f>(IF(F6=1,INDEX('Допущения'!$C$104:$C$106,'Допущения'!$D$103)*'Допущения'!$C$107,0)+IF(F6='Допущения'!$C$9,INDEX('Допущения'!$C$104:$C$106,'Допущения'!$D$103)*(1-'Допущения'!$C$107),0))/'Допущения'!$C$7</f>
        <v/>
      </c>
      <c r="G53" s="21">
        <f>(IF(G6=1,INDEX('Допущения'!$C$104:$C$106,'Допущения'!$D$103)*'Допущения'!$C$107,0)+IF(G6='Допущения'!$C$9,INDEX('Допущения'!$C$104:$C$106,'Допущения'!$D$103)*(1-'Допущения'!$C$107),0))/'Допущения'!$C$7</f>
        <v/>
      </c>
      <c r="H53" s="21">
        <f>(IF(H6=1,INDEX('Допущения'!$C$104:$C$106,'Допущения'!$D$103)*'Допущения'!$C$107,0)+IF(H6='Допущения'!$C$9,INDEX('Допущения'!$C$104:$C$106,'Допущения'!$D$103)*(1-'Допущения'!$C$107),0))/'Допущения'!$C$7</f>
        <v/>
      </c>
      <c r="I53" s="21">
        <f>(IF(I6=1,INDEX('Допущения'!$C$104:$C$106,'Допущения'!$D$103)*'Допущения'!$C$107,0)+IF(I6='Допущения'!$C$9,INDEX('Допущения'!$C$104:$C$106,'Допущения'!$D$103)*(1-'Допущения'!$C$107),0))/'Допущения'!$C$7</f>
        <v/>
      </c>
      <c r="J53" s="21">
        <f>(IF(J6=1,INDEX('Допущения'!$C$104:$C$106,'Допущения'!$D$103)*'Допущения'!$C$107,0)+IF(J6='Допущения'!$C$9,INDEX('Допущения'!$C$104:$C$106,'Допущения'!$D$103)*(1-'Допущения'!$C$107),0))/'Допущения'!$C$7</f>
        <v/>
      </c>
      <c r="K53" s="21">
        <f>(IF(K6=1,INDEX('Допущения'!$C$104:$C$106,'Допущения'!$D$103)*'Допущения'!$C$107,0)+IF(K6='Допущения'!$C$9,INDEX('Допущения'!$C$104:$C$106,'Допущения'!$D$103)*(1-'Допущения'!$C$107),0))/'Допущения'!$C$7</f>
        <v/>
      </c>
      <c r="L53" s="21">
        <f>(IF(L6=1,INDEX('Допущения'!$C$104:$C$106,'Допущения'!$D$103)*'Допущения'!$C$107,0)+IF(L6='Допущения'!$C$9,INDEX('Допущения'!$C$104:$C$106,'Допущения'!$D$103)*(1-'Допущения'!$C$107),0))/'Допущения'!$C$7</f>
        <v/>
      </c>
      <c r="M53" s="21">
        <f>(IF(M6=1,INDEX('Допущения'!$C$104:$C$106,'Допущения'!$D$103)*'Допущения'!$C$107,0)+IF(M6='Допущения'!$C$9,INDEX('Допущения'!$C$104:$C$106,'Допущения'!$D$103)*(1-'Допущения'!$C$107),0))/'Допущения'!$C$7</f>
        <v/>
      </c>
      <c r="N53" s="21">
        <f>(IF(N6=1,INDEX('Допущения'!$C$104:$C$106,'Допущения'!$D$103)*'Допущения'!$C$107,0)+IF(N6='Допущения'!$C$9,INDEX('Допущения'!$C$104:$C$106,'Допущения'!$D$103)*(1-'Допущения'!$C$107),0))/'Допущения'!$C$7</f>
        <v/>
      </c>
      <c r="O53" s="21">
        <f>(IF(O6=1,INDEX('Допущения'!$C$104:$C$106,'Допущения'!$D$103)*'Допущения'!$C$107,0)+IF(O6='Допущения'!$C$9,INDEX('Допущения'!$C$104:$C$106,'Допущения'!$D$103)*(1-'Допущения'!$C$107),0))/'Допущения'!$C$7</f>
        <v/>
      </c>
      <c r="P53" s="21">
        <f>(IF(P6=1,INDEX('Допущения'!$C$104:$C$106,'Допущения'!$D$103)*'Допущения'!$C$107,0)+IF(P6='Допущения'!$C$9,INDEX('Допущения'!$C$104:$C$106,'Допущения'!$D$103)*(1-'Допущения'!$C$107),0))/'Допущения'!$C$7</f>
        <v/>
      </c>
      <c r="Q53" s="21">
        <f>(IF(Q6=1,INDEX('Допущения'!$C$104:$C$106,'Допущения'!$D$103)*'Допущения'!$C$107,0)+IF(Q6='Допущения'!$C$9,INDEX('Допущения'!$C$104:$C$106,'Допущения'!$D$103)*(1-'Допущения'!$C$107),0))/'Допущения'!$C$7</f>
        <v/>
      </c>
      <c r="R53" s="21">
        <f>(IF(R6=1,INDEX('Допущения'!$C$104:$C$106,'Допущения'!$D$103)*'Допущения'!$C$107,0)+IF(R6='Допущения'!$C$9,INDEX('Допущения'!$C$104:$C$106,'Допущения'!$D$103)*(1-'Допущения'!$C$107),0))/'Допущения'!$C$7</f>
        <v/>
      </c>
      <c r="S53" s="21">
        <f>(IF(S6=1,INDEX('Допущения'!$C$104:$C$106,'Допущения'!$D$103)*'Допущения'!$C$107,0)+IF(S6='Допущения'!$C$9,INDEX('Допущения'!$C$104:$C$106,'Допущения'!$D$103)*(1-'Допущения'!$C$107),0))/'Допущения'!$C$7</f>
        <v/>
      </c>
      <c r="T53" s="21">
        <f>(IF(T6=1,INDEX('Допущения'!$C$104:$C$106,'Допущения'!$D$103)*'Допущения'!$C$107,0)+IF(T6='Допущения'!$C$9,INDEX('Допущения'!$C$104:$C$106,'Допущения'!$D$103)*(1-'Допущения'!$C$107),0))/'Допущения'!$C$7</f>
        <v/>
      </c>
      <c r="U53" s="21">
        <f>(IF(U6=1,INDEX('Допущения'!$C$104:$C$106,'Допущения'!$D$103)*'Допущения'!$C$107,0)+IF(U6='Допущения'!$C$9,INDEX('Допущения'!$C$104:$C$106,'Допущения'!$D$103)*(1-'Допущения'!$C$107),0))/'Допущения'!$C$7</f>
        <v/>
      </c>
      <c r="V53" s="21">
        <f>(IF(V6=1,INDEX('Допущения'!$C$104:$C$106,'Допущения'!$D$103)*'Допущения'!$C$107,0)+IF(V6='Допущения'!$C$9,INDEX('Допущения'!$C$104:$C$106,'Допущения'!$D$103)*(1-'Допущения'!$C$107),0))/'Допущения'!$C$7</f>
        <v/>
      </c>
      <c r="W53" s="21">
        <f>(IF(W6=1,INDEX('Допущения'!$C$104:$C$106,'Допущения'!$D$103)*'Допущения'!$C$107,0)+IF(W6='Допущения'!$C$9,INDEX('Допущения'!$C$104:$C$106,'Допущения'!$D$103)*(1-'Допущения'!$C$107),0))/'Допущения'!$C$7</f>
        <v/>
      </c>
      <c r="X53" s="21">
        <f>(IF(X6=1,INDEX('Допущения'!$C$104:$C$106,'Допущения'!$D$103)*'Допущения'!$C$107,0)+IF(X6='Допущения'!$C$9,INDEX('Допущения'!$C$104:$C$106,'Допущения'!$D$103)*(1-'Допущения'!$C$107),0))/'Допущения'!$C$7</f>
        <v/>
      </c>
      <c r="Y53" s="21">
        <f>(IF(Y6=1,INDEX('Допущения'!$C$104:$C$106,'Допущения'!$D$103)*'Допущения'!$C$107,0)+IF(Y6='Допущения'!$C$9,INDEX('Допущения'!$C$104:$C$106,'Допущения'!$D$103)*(1-'Допущения'!$C$107),0))/'Допущения'!$C$7</f>
        <v/>
      </c>
      <c r="Z53" s="21">
        <f>(IF(Z6=1,INDEX('Допущения'!$C$104:$C$106,'Допущения'!$D$103)*'Допущения'!$C$107,0)+IF(Z6='Допущения'!$C$9,INDEX('Допущения'!$C$104:$C$106,'Допущения'!$D$103)*(1-'Допущения'!$C$107),0))/'Допущения'!$C$7</f>
        <v/>
      </c>
      <c r="AA53" s="21">
        <f>(IF(AA6=1,INDEX('Допущения'!$C$104:$C$106,'Допущения'!$D$103)*'Допущения'!$C$107,0)+IF(AA6='Допущения'!$C$9,INDEX('Допущения'!$C$104:$C$106,'Допущения'!$D$103)*(1-'Допущения'!$C$107),0))/'Допущения'!$C$7</f>
        <v/>
      </c>
      <c r="AB53" s="21">
        <f>(IF(AB6=1,INDEX('Допущения'!$C$104:$C$106,'Допущения'!$D$103)*'Допущения'!$C$107,0)+IF(AB6='Допущения'!$C$9,INDEX('Допущения'!$C$104:$C$106,'Допущения'!$D$103)*(1-'Допущения'!$C$107),0))/'Допущения'!$C$7</f>
        <v/>
      </c>
      <c r="AC53" s="21">
        <f>(IF(AC6=1,INDEX('Допущения'!$C$104:$C$106,'Допущения'!$D$103)*'Допущения'!$C$107,0)+IF(AC6='Допущения'!$C$9,INDEX('Допущения'!$C$104:$C$106,'Допущения'!$D$103)*(1-'Допущения'!$C$107),0))/'Допущения'!$C$7</f>
        <v/>
      </c>
      <c r="AD53" s="21">
        <f>(IF(AD6=1,INDEX('Допущения'!$C$104:$C$106,'Допущения'!$D$103)*'Допущения'!$C$107,0)+IF(AD6='Допущения'!$C$9,INDEX('Допущения'!$C$104:$C$106,'Допущения'!$D$103)*(1-'Допущения'!$C$107),0))/'Допущения'!$C$7</f>
        <v/>
      </c>
      <c r="AE53" s="21">
        <f>(IF(AE6=1,INDEX('Допущения'!$C$104:$C$106,'Допущения'!$D$103)*'Допущения'!$C$107,0)+IF(AE6='Допущения'!$C$9,INDEX('Допущения'!$C$104:$C$106,'Допущения'!$D$103)*(1-'Допущения'!$C$107),0))/'Допущения'!$C$7</f>
        <v/>
      </c>
      <c r="AF53" s="21">
        <f>(IF(AF6=1,INDEX('Допущения'!$C$104:$C$106,'Допущения'!$D$103)*'Допущения'!$C$107,0)+IF(AF6='Допущения'!$C$9,INDEX('Допущения'!$C$104:$C$106,'Допущения'!$D$103)*(1-'Допущения'!$C$107),0))/'Допущения'!$C$7</f>
        <v/>
      </c>
      <c r="AG53" s="21">
        <f>(IF(AG6=1,INDEX('Допущения'!$C$104:$C$106,'Допущения'!$D$103)*'Допущения'!$C$107,0)+IF(AG6='Допущения'!$C$9,INDEX('Допущения'!$C$104:$C$106,'Допущения'!$D$103)*(1-'Допущения'!$C$107),0))/'Допущения'!$C$7</f>
        <v/>
      </c>
      <c r="AH53" s="21">
        <f>(IF(AH6=1,INDEX('Допущения'!$C$104:$C$106,'Допущения'!$D$103)*'Допущения'!$C$107,0)+IF(AH6='Допущения'!$C$9,INDEX('Допущения'!$C$104:$C$106,'Допущения'!$D$103)*(1-'Допущения'!$C$107),0))/'Допущения'!$C$7</f>
        <v/>
      </c>
      <c r="AI53" s="21">
        <f>(IF(AI6=1,INDEX('Допущения'!$C$104:$C$106,'Допущения'!$D$103)*'Допущения'!$C$107,0)+IF(AI6='Допущения'!$C$9,INDEX('Допущения'!$C$104:$C$106,'Допущения'!$D$103)*(1-'Допущения'!$C$107),0))/'Допущения'!$C$7</f>
        <v/>
      </c>
      <c r="AJ53" s="21">
        <f>(IF(AJ6=1,INDEX('Допущения'!$C$104:$C$106,'Допущения'!$D$103)*'Допущения'!$C$107,0)+IF(AJ6='Допущения'!$C$9,INDEX('Допущения'!$C$104:$C$106,'Допущения'!$D$103)*(1-'Допущения'!$C$107),0))/'Допущения'!$C$7</f>
        <v/>
      </c>
      <c r="AK53" s="21">
        <f>(IF(AK6=1,INDEX('Допущения'!$C$104:$C$106,'Допущения'!$D$103)*'Допущения'!$C$107,0)+IF(AK6='Допущения'!$C$9,INDEX('Допущения'!$C$104:$C$106,'Допущения'!$D$103)*(1-'Допущения'!$C$107),0))/'Допущения'!$C$7</f>
        <v/>
      </c>
      <c r="AL53" s="21">
        <f>(IF(AL6=1,INDEX('Допущения'!$C$104:$C$106,'Допущения'!$D$103)*'Допущения'!$C$107,0)+IF(AL6='Допущения'!$C$9,INDEX('Допущения'!$C$104:$C$106,'Допущения'!$D$103)*(1-'Допущения'!$C$107),0))/'Допущения'!$C$7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(IF(C6=1,MIN(INDEX('Допущения'!$D$104:$D$106,'Допущения'!$D$103),'Допущения'!$C$108),0)+IF(AND(C6&gt;=2,C6&lt;=4),MAX(0,INDEX('Допущения'!$D$104:$D$106,'Допущения'!$D$103)-'Допущения'!$C$108)/3,0))/'Допущения'!$C$7</f>
        <v/>
      </c>
      <c r="D54" s="21">
        <f>(IF(D6=1,MIN(INDEX('Допущения'!$D$104:$D$106,'Допущения'!$D$103),'Допущения'!$C$108),0)+IF(AND(D6&gt;=2,D6&lt;=4),MAX(0,INDEX('Допущения'!$D$104:$D$106,'Допущения'!$D$103)-'Допущения'!$C$108)/3,0))/'Допущения'!$C$7</f>
        <v/>
      </c>
      <c r="E54" s="21">
        <f>(IF(E6=1,MIN(INDEX('Допущения'!$D$104:$D$106,'Допущения'!$D$103),'Допущения'!$C$108),0)+IF(AND(E6&gt;=2,E6&lt;=4),MAX(0,INDEX('Допущения'!$D$104:$D$106,'Допущения'!$D$103)-'Допущения'!$C$108)/3,0))/'Допущения'!$C$7</f>
        <v/>
      </c>
      <c r="F54" s="21">
        <f>(IF(F6=1,MIN(INDEX('Допущения'!$D$104:$D$106,'Допущения'!$D$103),'Допущения'!$C$108),0)+IF(AND(F6&gt;=2,F6&lt;=4),MAX(0,INDEX('Допущения'!$D$104:$D$106,'Допущения'!$D$103)-'Допущения'!$C$108)/3,0))/'Допущения'!$C$7</f>
        <v/>
      </c>
      <c r="G54" s="21">
        <f>(IF(G6=1,MIN(INDEX('Допущения'!$D$104:$D$106,'Допущения'!$D$103),'Допущения'!$C$108),0)+IF(AND(G6&gt;=2,G6&lt;=4),MAX(0,INDEX('Допущения'!$D$104:$D$106,'Допущения'!$D$103)-'Допущения'!$C$108)/3,0))/'Допущения'!$C$7</f>
        <v/>
      </c>
      <c r="H54" s="21">
        <f>(IF(H6=1,MIN(INDEX('Допущения'!$D$104:$D$106,'Допущения'!$D$103),'Допущения'!$C$108),0)+IF(AND(H6&gt;=2,H6&lt;=4),MAX(0,INDEX('Допущения'!$D$104:$D$106,'Допущения'!$D$103)-'Допущения'!$C$108)/3,0))/'Допущения'!$C$7</f>
        <v/>
      </c>
      <c r="I54" s="21">
        <f>(IF(I6=1,MIN(INDEX('Допущения'!$D$104:$D$106,'Допущения'!$D$103),'Допущения'!$C$108),0)+IF(AND(I6&gt;=2,I6&lt;=4),MAX(0,INDEX('Допущения'!$D$104:$D$106,'Допущения'!$D$103)-'Допущения'!$C$108)/3,0))/'Допущения'!$C$7</f>
        <v/>
      </c>
      <c r="J54" s="21">
        <f>(IF(J6=1,MIN(INDEX('Допущения'!$D$104:$D$106,'Допущения'!$D$103),'Допущения'!$C$108),0)+IF(AND(J6&gt;=2,J6&lt;=4),MAX(0,INDEX('Допущения'!$D$104:$D$106,'Допущения'!$D$103)-'Допущения'!$C$108)/3,0))/'Допущения'!$C$7</f>
        <v/>
      </c>
      <c r="K54" s="21">
        <f>(IF(K6=1,MIN(INDEX('Допущения'!$D$104:$D$106,'Допущения'!$D$103),'Допущения'!$C$108),0)+IF(AND(K6&gt;=2,K6&lt;=4),MAX(0,INDEX('Допущения'!$D$104:$D$106,'Допущения'!$D$103)-'Допущения'!$C$108)/3,0))/'Допущения'!$C$7</f>
        <v/>
      </c>
      <c r="L54" s="21">
        <f>(IF(L6=1,MIN(INDEX('Допущения'!$D$104:$D$106,'Допущения'!$D$103),'Допущения'!$C$108),0)+IF(AND(L6&gt;=2,L6&lt;=4),MAX(0,INDEX('Допущения'!$D$104:$D$106,'Допущения'!$D$103)-'Допущения'!$C$108)/3,0))/'Допущения'!$C$7</f>
        <v/>
      </c>
      <c r="M54" s="21">
        <f>(IF(M6=1,MIN(INDEX('Допущения'!$D$104:$D$106,'Допущения'!$D$103),'Допущения'!$C$108),0)+IF(AND(M6&gt;=2,M6&lt;=4),MAX(0,INDEX('Допущения'!$D$104:$D$106,'Допущения'!$D$103)-'Допущения'!$C$108)/3,0))/'Допущения'!$C$7</f>
        <v/>
      </c>
      <c r="N54" s="21">
        <f>(IF(N6=1,MIN(INDEX('Допущения'!$D$104:$D$106,'Допущения'!$D$103),'Допущения'!$C$108),0)+IF(AND(N6&gt;=2,N6&lt;=4),MAX(0,INDEX('Допущения'!$D$104:$D$106,'Допущения'!$D$103)-'Допущения'!$C$108)/3,0))/'Допущения'!$C$7</f>
        <v/>
      </c>
      <c r="O54" s="21">
        <f>(IF(O6=1,MIN(INDEX('Допущения'!$D$104:$D$106,'Допущения'!$D$103),'Допущения'!$C$108),0)+IF(AND(O6&gt;=2,O6&lt;=4),MAX(0,INDEX('Допущения'!$D$104:$D$106,'Допущения'!$D$103)-'Допущения'!$C$108)/3,0))/'Допущения'!$C$7</f>
        <v/>
      </c>
      <c r="P54" s="21">
        <f>(IF(P6=1,MIN(INDEX('Допущения'!$D$104:$D$106,'Допущения'!$D$103),'Допущения'!$C$108),0)+IF(AND(P6&gt;=2,P6&lt;=4),MAX(0,INDEX('Допущения'!$D$104:$D$106,'Допущения'!$D$103)-'Допущения'!$C$108)/3,0))/'Допущения'!$C$7</f>
        <v/>
      </c>
      <c r="Q54" s="21">
        <f>(IF(Q6=1,MIN(INDEX('Допущения'!$D$104:$D$106,'Допущения'!$D$103),'Допущения'!$C$108),0)+IF(AND(Q6&gt;=2,Q6&lt;=4),MAX(0,INDEX('Допущения'!$D$104:$D$106,'Допущения'!$D$103)-'Допущения'!$C$108)/3,0))/'Допущения'!$C$7</f>
        <v/>
      </c>
      <c r="R54" s="21">
        <f>(IF(R6=1,MIN(INDEX('Допущения'!$D$104:$D$106,'Допущения'!$D$103),'Допущения'!$C$108),0)+IF(AND(R6&gt;=2,R6&lt;=4),MAX(0,INDEX('Допущения'!$D$104:$D$106,'Допущения'!$D$103)-'Допущения'!$C$108)/3,0))/'Допущения'!$C$7</f>
        <v/>
      </c>
      <c r="S54" s="21">
        <f>(IF(S6=1,MIN(INDEX('Допущения'!$D$104:$D$106,'Допущения'!$D$103),'Допущения'!$C$108),0)+IF(AND(S6&gt;=2,S6&lt;=4),MAX(0,INDEX('Допущения'!$D$104:$D$106,'Допущения'!$D$103)-'Допущения'!$C$108)/3,0))/'Допущения'!$C$7</f>
        <v/>
      </c>
      <c r="T54" s="21">
        <f>(IF(T6=1,MIN(INDEX('Допущения'!$D$104:$D$106,'Допущения'!$D$103),'Допущения'!$C$108),0)+IF(AND(T6&gt;=2,T6&lt;=4),MAX(0,INDEX('Допущения'!$D$104:$D$106,'Допущения'!$D$103)-'Допущения'!$C$108)/3,0))/'Допущения'!$C$7</f>
        <v/>
      </c>
      <c r="U54" s="21">
        <f>(IF(U6=1,MIN(INDEX('Допущения'!$D$104:$D$106,'Допущения'!$D$103),'Допущения'!$C$108),0)+IF(AND(U6&gt;=2,U6&lt;=4),MAX(0,INDEX('Допущения'!$D$104:$D$106,'Допущения'!$D$103)-'Допущения'!$C$108)/3,0))/'Допущения'!$C$7</f>
        <v/>
      </c>
      <c r="V54" s="21">
        <f>(IF(V6=1,MIN(INDEX('Допущения'!$D$104:$D$106,'Допущения'!$D$103),'Допущения'!$C$108),0)+IF(AND(V6&gt;=2,V6&lt;=4),MAX(0,INDEX('Допущения'!$D$104:$D$106,'Допущения'!$D$103)-'Допущения'!$C$108)/3,0))/'Допущения'!$C$7</f>
        <v/>
      </c>
      <c r="W54" s="21">
        <f>(IF(W6=1,MIN(INDEX('Допущения'!$D$104:$D$106,'Допущения'!$D$103),'Допущения'!$C$108),0)+IF(AND(W6&gt;=2,W6&lt;=4),MAX(0,INDEX('Допущения'!$D$104:$D$106,'Допущения'!$D$103)-'Допущения'!$C$108)/3,0))/'Допущения'!$C$7</f>
        <v/>
      </c>
      <c r="X54" s="21">
        <f>(IF(X6=1,MIN(INDEX('Допущения'!$D$104:$D$106,'Допущения'!$D$103),'Допущения'!$C$108),0)+IF(AND(X6&gt;=2,X6&lt;=4),MAX(0,INDEX('Допущения'!$D$104:$D$106,'Допущения'!$D$103)-'Допущения'!$C$108)/3,0))/'Допущения'!$C$7</f>
        <v/>
      </c>
      <c r="Y54" s="21">
        <f>(IF(Y6=1,MIN(INDEX('Допущения'!$D$104:$D$106,'Допущения'!$D$103),'Допущения'!$C$108),0)+IF(AND(Y6&gt;=2,Y6&lt;=4),MAX(0,INDEX('Допущения'!$D$104:$D$106,'Допущения'!$D$103)-'Допущения'!$C$108)/3,0))/'Допущения'!$C$7</f>
        <v/>
      </c>
      <c r="Z54" s="21">
        <f>(IF(Z6=1,MIN(INDEX('Допущения'!$D$104:$D$106,'Допущения'!$D$103),'Допущения'!$C$108),0)+IF(AND(Z6&gt;=2,Z6&lt;=4),MAX(0,INDEX('Допущения'!$D$104:$D$106,'Допущения'!$D$103)-'Допущения'!$C$108)/3,0))/'Допущения'!$C$7</f>
        <v/>
      </c>
      <c r="AA54" s="21">
        <f>(IF(AA6=1,MIN(INDEX('Допущения'!$D$104:$D$106,'Допущения'!$D$103),'Допущения'!$C$108),0)+IF(AND(AA6&gt;=2,AA6&lt;=4),MAX(0,INDEX('Допущения'!$D$104:$D$106,'Допущения'!$D$103)-'Допущения'!$C$108)/3,0))/'Допущения'!$C$7</f>
        <v/>
      </c>
      <c r="AB54" s="21">
        <f>(IF(AB6=1,MIN(INDEX('Допущения'!$D$104:$D$106,'Допущения'!$D$103),'Допущения'!$C$108),0)+IF(AND(AB6&gt;=2,AB6&lt;=4),MAX(0,INDEX('Допущения'!$D$104:$D$106,'Допущения'!$D$103)-'Допущения'!$C$108)/3,0))/'Допущения'!$C$7</f>
        <v/>
      </c>
      <c r="AC54" s="21">
        <f>(IF(AC6=1,MIN(INDEX('Допущения'!$D$104:$D$106,'Допущения'!$D$103),'Допущения'!$C$108),0)+IF(AND(AC6&gt;=2,AC6&lt;=4),MAX(0,INDEX('Допущения'!$D$104:$D$106,'Допущения'!$D$103)-'Допущения'!$C$108)/3,0))/'Допущения'!$C$7</f>
        <v/>
      </c>
      <c r="AD54" s="21">
        <f>(IF(AD6=1,MIN(INDEX('Допущения'!$D$104:$D$106,'Допущения'!$D$103),'Допущения'!$C$108),0)+IF(AND(AD6&gt;=2,AD6&lt;=4),MAX(0,INDEX('Допущения'!$D$104:$D$106,'Допущения'!$D$103)-'Допущения'!$C$108)/3,0))/'Допущения'!$C$7</f>
        <v/>
      </c>
      <c r="AE54" s="21">
        <f>(IF(AE6=1,MIN(INDEX('Допущения'!$D$104:$D$106,'Допущения'!$D$103),'Допущения'!$C$108),0)+IF(AND(AE6&gt;=2,AE6&lt;=4),MAX(0,INDEX('Допущения'!$D$104:$D$106,'Допущения'!$D$103)-'Допущения'!$C$108)/3,0))/'Допущения'!$C$7</f>
        <v/>
      </c>
      <c r="AF54" s="21">
        <f>(IF(AF6=1,MIN(INDEX('Допущения'!$D$104:$D$106,'Допущения'!$D$103),'Допущения'!$C$108),0)+IF(AND(AF6&gt;=2,AF6&lt;=4),MAX(0,INDEX('Допущения'!$D$104:$D$106,'Допущения'!$D$103)-'Допущения'!$C$108)/3,0))/'Допущения'!$C$7</f>
        <v/>
      </c>
      <c r="AG54" s="21">
        <f>(IF(AG6=1,MIN(INDEX('Допущения'!$D$104:$D$106,'Допущения'!$D$103),'Допущения'!$C$108),0)+IF(AND(AG6&gt;=2,AG6&lt;=4),MAX(0,INDEX('Допущения'!$D$104:$D$106,'Допущения'!$D$103)-'Допущения'!$C$108)/3,0))/'Допущения'!$C$7</f>
        <v/>
      </c>
      <c r="AH54" s="21">
        <f>(IF(AH6=1,MIN(INDEX('Допущения'!$D$104:$D$106,'Допущения'!$D$103),'Допущения'!$C$108),0)+IF(AND(AH6&gt;=2,AH6&lt;=4),MAX(0,INDEX('Допущения'!$D$104:$D$106,'Допущения'!$D$103)-'Допущения'!$C$108)/3,0))/'Допущения'!$C$7</f>
        <v/>
      </c>
      <c r="AI54" s="21">
        <f>(IF(AI6=1,MIN(INDEX('Допущения'!$D$104:$D$106,'Допущения'!$D$103),'Допущения'!$C$108),0)+IF(AND(AI6&gt;=2,AI6&lt;=4),MAX(0,INDEX('Допущения'!$D$104:$D$106,'Допущения'!$D$103)-'Допущения'!$C$108)/3,0))/'Допущения'!$C$7</f>
        <v/>
      </c>
      <c r="AJ54" s="21">
        <f>(IF(AJ6=1,MIN(INDEX('Допущения'!$D$104:$D$106,'Допущения'!$D$103),'Допущения'!$C$108),0)+IF(AND(AJ6&gt;=2,AJ6&lt;=4),MAX(0,INDEX('Допущения'!$D$104:$D$106,'Допущения'!$D$103)-'Допущения'!$C$108)/3,0))/'Допущения'!$C$7</f>
        <v/>
      </c>
      <c r="AK54" s="21">
        <f>(IF(AK6=1,MIN(INDEX('Допущения'!$D$104:$D$106,'Допущения'!$D$103),'Допущения'!$C$108),0)+IF(AND(AK6&gt;=2,AK6&lt;=4),MAX(0,INDEX('Допущения'!$D$104:$D$106,'Допущения'!$D$103)-'Допущения'!$C$108)/3,0))/'Допущения'!$C$7</f>
        <v/>
      </c>
      <c r="AL54" s="21">
        <f>(IF(AL6=1,MIN(INDEX('Допущения'!$D$104:$D$106,'Допущения'!$D$103),'Допущения'!$C$108),0)+IF(AND(AL6&gt;=2,AL6&lt;=4),MAX(0,INDEX('Допущения'!$D$104:$D$106,'Допущения'!$D$103)-'Допущения'!$C$108)/3,0))/'Допущения'!$C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C$107+IF(C6&gt;='Допущения'!$C$9,'Допущения'!$C$104*(1-'Допущения'!$C$107),0)+MIN('Допущения'!$D$104,'Допущения'!$C$108)+MAX(0,'Допущения'!$D$104-'Допущения'!$C$108)*MIN(MAX(C6-1,0),3)/3)/'Допущения'!$C$7</f>
        <v/>
      </c>
      <c r="D56" s="21">
        <f>D51+('Допущения'!$C$104*'Допущения'!$C$107+IF(D6&gt;='Допущения'!$C$9,'Допущения'!$C$104*(1-'Допущения'!$C$107),0)+MIN('Допущения'!$D$104,'Допущения'!$C$108)+MAX(0,'Допущения'!$D$104-'Допущения'!$C$108)*MIN(MAX(D6-1,0),3)/3)/'Допущения'!$C$7</f>
        <v/>
      </c>
      <c r="E56" s="21">
        <f>E51+('Допущения'!$C$104*'Допущения'!$C$107+IF(E6&gt;='Допущения'!$C$9,'Допущения'!$C$104*(1-'Допущения'!$C$107),0)+MIN('Допущения'!$D$104,'Допущения'!$C$108)+MAX(0,'Допущения'!$D$104-'Допущения'!$C$108)*MIN(MAX(E6-1,0),3)/3)/'Допущения'!$C$7</f>
        <v/>
      </c>
      <c r="F56" s="21">
        <f>F51+('Допущения'!$C$104*'Допущения'!$C$107+IF(F6&gt;='Допущения'!$C$9,'Допущения'!$C$104*(1-'Допущения'!$C$107),0)+MIN('Допущения'!$D$104,'Допущения'!$C$108)+MAX(0,'Допущения'!$D$104-'Допущения'!$C$108)*MIN(MAX(F6-1,0),3)/3)/'Допущения'!$C$7</f>
        <v/>
      </c>
      <c r="G56" s="21">
        <f>G51+('Допущения'!$C$104*'Допущения'!$C$107+IF(G6&gt;='Допущения'!$C$9,'Допущения'!$C$104*(1-'Допущения'!$C$107),0)+MIN('Допущения'!$D$104,'Допущения'!$C$108)+MAX(0,'Допущения'!$D$104-'Допущения'!$C$108)*MIN(MAX(G6-1,0),3)/3)/'Допущения'!$C$7</f>
        <v/>
      </c>
      <c r="H56" s="21">
        <f>H51+('Допущения'!$C$104*'Допущения'!$C$107+IF(H6&gt;='Допущения'!$C$9,'Допущения'!$C$104*(1-'Допущения'!$C$107),0)+MIN('Допущения'!$D$104,'Допущения'!$C$108)+MAX(0,'Допущения'!$D$104-'Допущения'!$C$108)*MIN(MAX(H6-1,0),3)/3)/'Допущения'!$C$7</f>
        <v/>
      </c>
      <c r="I56" s="21">
        <f>I51+('Допущения'!$C$104*'Допущения'!$C$107+IF(I6&gt;='Допущения'!$C$9,'Допущения'!$C$104*(1-'Допущения'!$C$107),0)+MIN('Допущения'!$D$104,'Допущения'!$C$108)+MAX(0,'Допущения'!$D$104-'Допущения'!$C$108)*MIN(MAX(I6-1,0),3)/3)/'Допущения'!$C$7</f>
        <v/>
      </c>
      <c r="J56" s="21">
        <f>J51+('Допущения'!$C$104*'Допущения'!$C$107+IF(J6&gt;='Допущения'!$C$9,'Допущения'!$C$104*(1-'Допущения'!$C$107),0)+MIN('Допущения'!$D$104,'Допущения'!$C$108)+MAX(0,'Допущения'!$D$104-'Допущения'!$C$108)*MIN(MAX(J6-1,0),3)/3)/'Допущения'!$C$7</f>
        <v/>
      </c>
      <c r="K56" s="21">
        <f>K51+('Допущения'!$C$104*'Допущения'!$C$107+IF(K6&gt;='Допущения'!$C$9,'Допущения'!$C$104*(1-'Допущения'!$C$107),0)+MIN('Допущения'!$D$104,'Допущения'!$C$108)+MAX(0,'Допущения'!$D$104-'Допущения'!$C$108)*MIN(MAX(K6-1,0),3)/3)/'Допущения'!$C$7</f>
        <v/>
      </c>
      <c r="L56" s="21">
        <f>L51+('Допущения'!$C$104*'Допущения'!$C$107+IF(L6&gt;='Допущения'!$C$9,'Допущения'!$C$104*(1-'Допущения'!$C$107),0)+MIN('Допущения'!$D$104,'Допущения'!$C$108)+MAX(0,'Допущения'!$D$104-'Допущения'!$C$108)*MIN(MAX(L6-1,0),3)/3)/'Допущения'!$C$7</f>
        <v/>
      </c>
      <c r="M56" s="21">
        <f>M51+('Допущения'!$C$104*'Допущения'!$C$107+IF(M6&gt;='Допущения'!$C$9,'Допущения'!$C$104*(1-'Допущения'!$C$107),0)+MIN('Допущения'!$D$104,'Допущения'!$C$108)+MAX(0,'Допущения'!$D$104-'Допущения'!$C$108)*MIN(MAX(M6-1,0),3)/3)/'Допущения'!$C$7</f>
        <v/>
      </c>
      <c r="N56" s="21">
        <f>N51+('Допущения'!$C$104*'Допущения'!$C$107+IF(N6&gt;='Допущения'!$C$9,'Допущения'!$C$104*(1-'Допущения'!$C$107),0)+MIN('Допущения'!$D$104,'Допущения'!$C$108)+MAX(0,'Допущения'!$D$104-'Допущения'!$C$108)*MIN(MAX(N6-1,0),3)/3)/'Допущения'!$C$7</f>
        <v/>
      </c>
      <c r="O56" s="21">
        <f>O51+('Допущения'!$C$104*'Допущения'!$C$107+IF(O6&gt;='Допущения'!$C$9,'Допущения'!$C$104*(1-'Допущения'!$C$107),0)+MIN('Допущения'!$D$104,'Допущения'!$C$108)+MAX(0,'Допущения'!$D$104-'Допущения'!$C$108)*MIN(MAX(O6-1,0),3)/3)/'Допущения'!$C$7</f>
        <v/>
      </c>
      <c r="P56" s="21">
        <f>P51+('Допущения'!$C$104*'Допущения'!$C$107+IF(P6&gt;='Допущения'!$C$9,'Допущения'!$C$104*(1-'Допущения'!$C$107),0)+MIN('Допущения'!$D$104,'Допущения'!$C$108)+MAX(0,'Допущения'!$D$104-'Допущения'!$C$108)*MIN(MAX(P6-1,0),3)/3)/'Допущения'!$C$7</f>
        <v/>
      </c>
      <c r="Q56" s="21">
        <f>Q51+('Допущения'!$C$104*'Допущения'!$C$107+IF(Q6&gt;='Допущения'!$C$9,'Допущения'!$C$104*(1-'Допущения'!$C$107),0)+MIN('Допущения'!$D$104,'Допущения'!$C$108)+MAX(0,'Допущения'!$D$104-'Допущения'!$C$108)*MIN(MAX(Q6-1,0),3)/3)/'Допущения'!$C$7</f>
        <v/>
      </c>
      <c r="R56" s="21">
        <f>R51+('Допущения'!$C$104*'Допущения'!$C$107+IF(R6&gt;='Допущения'!$C$9,'Допущения'!$C$104*(1-'Допущения'!$C$107),0)+MIN('Допущения'!$D$104,'Допущения'!$C$108)+MAX(0,'Допущения'!$D$104-'Допущения'!$C$108)*MIN(MAX(R6-1,0),3)/3)/'Допущения'!$C$7</f>
        <v/>
      </c>
      <c r="S56" s="21">
        <f>S51+('Допущения'!$C$104*'Допущения'!$C$107+IF(S6&gt;='Допущения'!$C$9,'Допущения'!$C$104*(1-'Допущения'!$C$107),0)+MIN('Допущения'!$D$104,'Допущения'!$C$108)+MAX(0,'Допущения'!$D$104-'Допущения'!$C$108)*MIN(MAX(S6-1,0),3)/3)/'Допущения'!$C$7</f>
        <v/>
      </c>
      <c r="T56" s="21">
        <f>T51+('Допущения'!$C$104*'Допущения'!$C$107+IF(T6&gt;='Допущения'!$C$9,'Допущения'!$C$104*(1-'Допущения'!$C$107),0)+MIN('Допущения'!$D$104,'Допущения'!$C$108)+MAX(0,'Допущения'!$D$104-'Допущения'!$C$108)*MIN(MAX(T6-1,0),3)/3)/'Допущения'!$C$7</f>
        <v/>
      </c>
      <c r="U56" s="21">
        <f>U51+('Допущения'!$C$104*'Допущения'!$C$107+IF(U6&gt;='Допущения'!$C$9,'Допущения'!$C$104*(1-'Допущения'!$C$107),0)+MIN('Допущения'!$D$104,'Допущения'!$C$108)+MAX(0,'Допущения'!$D$104-'Допущения'!$C$108)*MIN(MAX(U6-1,0),3)/3)/'Допущения'!$C$7</f>
        <v/>
      </c>
      <c r="V56" s="21">
        <f>V51+('Допущения'!$C$104*'Допущения'!$C$107+IF(V6&gt;='Допущения'!$C$9,'Допущения'!$C$104*(1-'Допущения'!$C$107),0)+MIN('Допущения'!$D$104,'Допущения'!$C$108)+MAX(0,'Допущения'!$D$104-'Допущения'!$C$108)*MIN(MAX(V6-1,0),3)/3)/'Допущения'!$C$7</f>
        <v/>
      </c>
      <c r="W56" s="21">
        <f>W51+('Допущения'!$C$104*'Допущения'!$C$107+IF(W6&gt;='Допущения'!$C$9,'Допущения'!$C$104*(1-'Допущения'!$C$107),0)+MIN('Допущения'!$D$104,'Допущения'!$C$108)+MAX(0,'Допущения'!$D$104-'Допущения'!$C$108)*MIN(MAX(W6-1,0),3)/3)/'Допущения'!$C$7</f>
        <v/>
      </c>
      <c r="X56" s="21">
        <f>X51+('Допущения'!$C$104*'Допущения'!$C$107+IF(X6&gt;='Допущения'!$C$9,'Допущения'!$C$104*(1-'Допущения'!$C$107),0)+MIN('Допущения'!$D$104,'Допущения'!$C$108)+MAX(0,'Допущения'!$D$104-'Допущения'!$C$108)*MIN(MAX(X6-1,0),3)/3)/'Допущения'!$C$7</f>
        <v/>
      </c>
      <c r="Y56" s="21">
        <f>Y51+('Допущения'!$C$104*'Допущения'!$C$107+IF(Y6&gt;='Допущения'!$C$9,'Допущения'!$C$104*(1-'Допущения'!$C$107),0)+MIN('Допущения'!$D$104,'Допущения'!$C$108)+MAX(0,'Допущения'!$D$104-'Допущения'!$C$108)*MIN(MAX(Y6-1,0),3)/3)/'Допущения'!$C$7</f>
        <v/>
      </c>
      <c r="Z56" s="21">
        <f>Z51+('Допущения'!$C$104*'Допущения'!$C$107+IF(Z6&gt;='Допущения'!$C$9,'Допущения'!$C$104*(1-'Допущения'!$C$107),0)+MIN('Допущения'!$D$104,'Допущения'!$C$108)+MAX(0,'Допущения'!$D$104-'Допущения'!$C$108)*MIN(MAX(Z6-1,0),3)/3)/'Допущения'!$C$7</f>
        <v/>
      </c>
      <c r="AA56" s="21">
        <f>AA51+('Допущения'!$C$104*'Допущения'!$C$107+IF(AA6&gt;='Допущения'!$C$9,'Допущения'!$C$104*(1-'Допущения'!$C$107),0)+MIN('Допущения'!$D$104,'Допущения'!$C$108)+MAX(0,'Допущения'!$D$104-'Допущения'!$C$108)*MIN(MAX(AA6-1,0),3)/3)/'Допущения'!$C$7</f>
        <v/>
      </c>
      <c r="AB56" s="21">
        <f>AB51+('Допущения'!$C$104*'Допущения'!$C$107+IF(AB6&gt;='Допущения'!$C$9,'Допущения'!$C$104*(1-'Допущения'!$C$107),0)+MIN('Допущения'!$D$104,'Допущения'!$C$108)+MAX(0,'Допущения'!$D$104-'Допущения'!$C$108)*MIN(MAX(AB6-1,0),3)/3)/'Допущения'!$C$7</f>
        <v/>
      </c>
      <c r="AC56" s="21">
        <f>AC51+('Допущения'!$C$104*'Допущения'!$C$107+IF(AC6&gt;='Допущения'!$C$9,'Допущения'!$C$104*(1-'Допущения'!$C$107),0)+MIN('Допущения'!$D$104,'Допущения'!$C$108)+MAX(0,'Допущения'!$D$104-'Допущения'!$C$108)*MIN(MAX(AC6-1,0),3)/3)/'Допущения'!$C$7</f>
        <v/>
      </c>
      <c r="AD56" s="21">
        <f>AD51+('Допущения'!$C$104*'Допущения'!$C$107+IF(AD6&gt;='Допущения'!$C$9,'Допущения'!$C$104*(1-'Допущения'!$C$107),0)+MIN('Допущения'!$D$104,'Допущения'!$C$108)+MAX(0,'Допущения'!$D$104-'Допущения'!$C$108)*MIN(MAX(AD6-1,0),3)/3)/'Допущения'!$C$7</f>
        <v/>
      </c>
      <c r="AE56" s="21">
        <f>AE51+('Допущения'!$C$104*'Допущения'!$C$107+IF(AE6&gt;='Допущения'!$C$9,'Допущения'!$C$104*(1-'Допущения'!$C$107),0)+MIN('Допущения'!$D$104,'Допущения'!$C$108)+MAX(0,'Допущения'!$D$104-'Допущения'!$C$108)*MIN(MAX(AE6-1,0),3)/3)/'Допущения'!$C$7</f>
        <v/>
      </c>
      <c r="AF56" s="21">
        <f>AF51+('Допущения'!$C$104*'Допущения'!$C$107+IF(AF6&gt;='Допущения'!$C$9,'Допущения'!$C$104*(1-'Допущения'!$C$107),0)+MIN('Допущения'!$D$104,'Допущения'!$C$108)+MAX(0,'Допущения'!$D$104-'Допущения'!$C$108)*MIN(MAX(AF6-1,0),3)/3)/'Допущения'!$C$7</f>
        <v/>
      </c>
      <c r="AG56" s="21">
        <f>AG51+('Допущения'!$C$104*'Допущения'!$C$107+IF(AG6&gt;='Допущения'!$C$9,'Допущения'!$C$104*(1-'Допущения'!$C$107),0)+MIN('Допущения'!$D$104,'Допущения'!$C$108)+MAX(0,'Допущения'!$D$104-'Допущения'!$C$108)*MIN(MAX(AG6-1,0),3)/3)/'Допущения'!$C$7</f>
        <v/>
      </c>
      <c r="AH56" s="21">
        <f>AH51+('Допущения'!$C$104*'Допущения'!$C$107+IF(AH6&gt;='Допущения'!$C$9,'Допущения'!$C$104*(1-'Допущения'!$C$107),0)+MIN('Допущения'!$D$104,'Допущения'!$C$108)+MAX(0,'Допущения'!$D$104-'Допущения'!$C$108)*MIN(MAX(AH6-1,0),3)/3)/'Допущения'!$C$7</f>
        <v/>
      </c>
      <c r="AI56" s="21">
        <f>AI51+('Допущения'!$C$104*'Допущения'!$C$107+IF(AI6&gt;='Допущения'!$C$9,'Допущения'!$C$104*(1-'Допущения'!$C$107),0)+MIN('Допущения'!$D$104,'Допущения'!$C$108)+MAX(0,'Допущения'!$D$104-'Допущения'!$C$108)*MIN(MAX(AI6-1,0),3)/3)/'Допущения'!$C$7</f>
        <v/>
      </c>
      <c r="AJ56" s="21">
        <f>AJ51+('Допущения'!$C$104*'Допущения'!$C$107+IF(AJ6&gt;='Допущения'!$C$9,'Допущения'!$C$104*(1-'Допущения'!$C$107),0)+MIN('Допущения'!$D$104,'Допущения'!$C$108)+MAX(0,'Допущения'!$D$104-'Допущения'!$C$108)*MIN(MAX(AJ6-1,0),3)/3)/'Допущения'!$C$7</f>
        <v/>
      </c>
      <c r="AK56" s="21">
        <f>AK51+('Допущения'!$C$104*'Допущения'!$C$107+IF(AK6&gt;='Допущения'!$C$9,'Допущения'!$C$104*(1-'Допущения'!$C$107),0)+MIN('Допущения'!$D$104,'Допущения'!$C$108)+MAX(0,'Допущения'!$D$104-'Допущения'!$C$108)*MIN(MAX(AK6-1,0),3)/3)/'Допущения'!$C$7</f>
        <v/>
      </c>
      <c r="AL56" s="21">
        <f>AL51+('Допущения'!$C$104*'Допущения'!$C$107+IF(AL6&gt;='Допущения'!$C$9,'Допущения'!$C$104*(1-'Допущения'!$C$107),0)+MIN('Допущения'!$D$104,'Допущения'!$C$108)+MAX(0,'Допущения'!$D$104-'Допущения'!$C$108)*MIN(MAX(AL6-1,0),3)/3)/'Допущения'!$C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C$107+IF(C6&gt;='Допущения'!$C$9,'Допущения'!$C$105*(1-'Допущения'!$C$107),0)+MIN('Допущения'!$D$105,'Допущения'!$C$108)+MAX(0,'Допущения'!$D$105-'Допущения'!$C$108)*MIN(MAX(C6-1,0),3)/3)/'Допущения'!$C$7</f>
        <v/>
      </c>
      <c r="D57" s="21">
        <f>D51+('Допущения'!$C$105*'Допущения'!$C$107+IF(D6&gt;='Допущения'!$C$9,'Допущения'!$C$105*(1-'Допущения'!$C$107),0)+MIN('Допущения'!$D$105,'Допущения'!$C$108)+MAX(0,'Допущения'!$D$105-'Допущения'!$C$108)*MIN(MAX(D6-1,0),3)/3)/'Допущения'!$C$7</f>
        <v/>
      </c>
      <c r="E57" s="21">
        <f>E51+('Допущения'!$C$105*'Допущения'!$C$107+IF(E6&gt;='Допущения'!$C$9,'Допущения'!$C$105*(1-'Допущения'!$C$107),0)+MIN('Допущения'!$D$105,'Допущения'!$C$108)+MAX(0,'Допущения'!$D$105-'Допущения'!$C$108)*MIN(MAX(E6-1,0),3)/3)/'Допущения'!$C$7</f>
        <v/>
      </c>
      <c r="F57" s="21">
        <f>F51+('Допущения'!$C$105*'Допущения'!$C$107+IF(F6&gt;='Допущения'!$C$9,'Допущения'!$C$105*(1-'Допущения'!$C$107),0)+MIN('Допущения'!$D$105,'Допущения'!$C$108)+MAX(0,'Допущения'!$D$105-'Допущения'!$C$108)*MIN(MAX(F6-1,0),3)/3)/'Допущения'!$C$7</f>
        <v/>
      </c>
      <c r="G57" s="21">
        <f>G51+('Допущения'!$C$105*'Допущения'!$C$107+IF(G6&gt;='Допущения'!$C$9,'Допущения'!$C$105*(1-'Допущения'!$C$107),0)+MIN('Допущения'!$D$105,'Допущения'!$C$108)+MAX(0,'Допущения'!$D$105-'Допущения'!$C$108)*MIN(MAX(G6-1,0),3)/3)/'Допущения'!$C$7</f>
        <v/>
      </c>
      <c r="H57" s="21">
        <f>H51+('Допущения'!$C$105*'Допущения'!$C$107+IF(H6&gt;='Допущения'!$C$9,'Допущения'!$C$105*(1-'Допущения'!$C$107),0)+MIN('Допущения'!$D$105,'Допущения'!$C$108)+MAX(0,'Допущения'!$D$105-'Допущения'!$C$108)*MIN(MAX(H6-1,0),3)/3)/'Допущения'!$C$7</f>
        <v/>
      </c>
      <c r="I57" s="21">
        <f>I51+('Допущения'!$C$105*'Допущения'!$C$107+IF(I6&gt;='Допущения'!$C$9,'Допущения'!$C$105*(1-'Допущения'!$C$107),0)+MIN('Допущения'!$D$105,'Допущения'!$C$108)+MAX(0,'Допущения'!$D$105-'Допущения'!$C$108)*MIN(MAX(I6-1,0),3)/3)/'Допущения'!$C$7</f>
        <v/>
      </c>
      <c r="J57" s="21">
        <f>J51+('Допущения'!$C$105*'Допущения'!$C$107+IF(J6&gt;='Допущения'!$C$9,'Допущения'!$C$105*(1-'Допущения'!$C$107),0)+MIN('Допущения'!$D$105,'Допущения'!$C$108)+MAX(0,'Допущения'!$D$105-'Допущения'!$C$108)*MIN(MAX(J6-1,0),3)/3)/'Допущения'!$C$7</f>
        <v/>
      </c>
      <c r="K57" s="21">
        <f>K51+('Допущения'!$C$105*'Допущения'!$C$107+IF(K6&gt;='Допущения'!$C$9,'Допущения'!$C$105*(1-'Допущения'!$C$107),0)+MIN('Допущения'!$D$105,'Допущения'!$C$108)+MAX(0,'Допущения'!$D$105-'Допущения'!$C$108)*MIN(MAX(K6-1,0),3)/3)/'Допущения'!$C$7</f>
        <v/>
      </c>
      <c r="L57" s="21">
        <f>L51+('Допущения'!$C$105*'Допущения'!$C$107+IF(L6&gt;='Допущения'!$C$9,'Допущения'!$C$105*(1-'Допущения'!$C$107),0)+MIN('Допущения'!$D$105,'Допущения'!$C$108)+MAX(0,'Допущения'!$D$105-'Допущения'!$C$108)*MIN(MAX(L6-1,0),3)/3)/'Допущения'!$C$7</f>
        <v/>
      </c>
      <c r="M57" s="21">
        <f>M51+('Допущения'!$C$105*'Допущения'!$C$107+IF(M6&gt;='Допущения'!$C$9,'Допущения'!$C$105*(1-'Допущения'!$C$107),0)+MIN('Допущения'!$D$105,'Допущения'!$C$108)+MAX(0,'Допущения'!$D$105-'Допущения'!$C$108)*MIN(MAX(M6-1,0),3)/3)/'Допущения'!$C$7</f>
        <v/>
      </c>
      <c r="N57" s="21">
        <f>N51+('Допущения'!$C$105*'Допущения'!$C$107+IF(N6&gt;='Допущения'!$C$9,'Допущения'!$C$105*(1-'Допущения'!$C$107),0)+MIN('Допущения'!$D$105,'Допущения'!$C$108)+MAX(0,'Допущения'!$D$105-'Допущения'!$C$108)*MIN(MAX(N6-1,0),3)/3)/'Допущения'!$C$7</f>
        <v/>
      </c>
      <c r="O57" s="21">
        <f>O51+('Допущения'!$C$105*'Допущения'!$C$107+IF(O6&gt;='Допущения'!$C$9,'Допущения'!$C$105*(1-'Допущения'!$C$107),0)+MIN('Допущения'!$D$105,'Допущения'!$C$108)+MAX(0,'Допущения'!$D$105-'Допущения'!$C$108)*MIN(MAX(O6-1,0),3)/3)/'Допущения'!$C$7</f>
        <v/>
      </c>
      <c r="P57" s="21">
        <f>P51+('Допущения'!$C$105*'Допущения'!$C$107+IF(P6&gt;='Допущения'!$C$9,'Допущения'!$C$105*(1-'Допущения'!$C$107),0)+MIN('Допущения'!$D$105,'Допущения'!$C$108)+MAX(0,'Допущения'!$D$105-'Допущения'!$C$108)*MIN(MAX(P6-1,0),3)/3)/'Допущения'!$C$7</f>
        <v/>
      </c>
      <c r="Q57" s="21">
        <f>Q51+('Допущения'!$C$105*'Допущения'!$C$107+IF(Q6&gt;='Допущения'!$C$9,'Допущения'!$C$105*(1-'Допущения'!$C$107),0)+MIN('Допущения'!$D$105,'Допущения'!$C$108)+MAX(0,'Допущения'!$D$105-'Допущения'!$C$108)*MIN(MAX(Q6-1,0),3)/3)/'Допущения'!$C$7</f>
        <v/>
      </c>
      <c r="R57" s="21">
        <f>R51+('Допущения'!$C$105*'Допущения'!$C$107+IF(R6&gt;='Допущения'!$C$9,'Допущения'!$C$105*(1-'Допущения'!$C$107),0)+MIN('Допущения'!$D$105,'Допущения'!$C$108)+MAX(0,'Допущения'!$D$105-'Допущения'!$C$108)*MIN(MAX(R6-1,0),3)/3)/'Допущения'!$C$7</f>
        <v/>
      </c>
      <c r="S57" s="21">
        <f>S51+('Допущения'!$C$105*'Допущения'!$C$107+IF(S6&gt;='Допущения'!$C$9,'Допущения'!$C$105*(1-'Допущения'!$C$107),0)+MIN('Допущения'!$D$105,'Допущения'!$C$108)+MAX(0,'Допущения'!$D$105-'Допущения'!$C$108)*MIN(MAX(S6-1,0),3)/3)/'Допущения'!$C$7</f>
        <v/>
      </c>
      <c r="T57" s="21">
        <f>T51+('Допущения'!$C$105*'Допущения'!$C$107+IF(T6&gt;='Допущения'!$C$9,'Допущения'!$C$105*(1-'Допущения'!$C$107),0)+MIN('Допущения'!$D$105,'Допущения'!$C$108)+MAX(0,'Допущения'!$D$105-'Допущения'!$C$108)*MIN(MAX(T6-1,0),3)/3)/'Допущения'!$C$7</f>
        <v/>
      </c>
      <c r="U57" s="21">
        <f>U51+('Допущения'!$C$105*'Допущения'!$C$107+IF(U6&gt;='Допущения'!$C$9,'Допущения'!$C$105*(1-'Допущения'!$C$107),0)+MIN('Допущения'!$D$105,'Допущения'!$C$108)+MAX(0,'Допущения'!$D$105-'Допущения'!$C$108)*MIN(MAX(U6-1,0),3)/3)/'Допущения'!$C$7</f>
        <v/>
      </c>
      <c r="V57" s="21">
        <f>V51+('Допущения'!$C$105*'Допущения'!$C$107+IF(V6&gt;='Допущения'!$C$9,'Допущения'!$C$105*(1-'Допущения'!$C$107),0)+MIN('Допущения'!$D$105,'Допущения'!$C$108)+MAX(0,'Допущения'!$D$105-'Допущения'!$C$108)*MIN(MAX(V6-1,0),3)/3)/'Допущения'!$C$7</f>
        <v/>
      </c>
      <c r="W57" s="21">
        <f>W51+('Допущения'!$C$105*'Допущения'!$C$107+IF(W6&gt;='Допущения'!$C$9,'Допущения'!$C$105*(1-'Допущения'!$C$107),0)+MIN('Допущения'!$D$105,'Допущения'!$C$108)+MAX(0,'Допущения'!$D$105-'Допущения'!$C$108)*MIN(MAX(W6-1,0),3)/3)/'Допущения'!$C$7</f>
        <v/>
      </c>
      <c r="X57" s="21">
        <f>X51+('Допущения'!$C$105*'Допущения'!$C$107+IF(X6&gt;='Допущения'!$C$9,'Допущения'!$C$105*(1-'Допущения'!$C$107),0)+MIN('Допущения'!$D$105,'Допущения'!$C$108)+MAX(0,'Допущения'!$D$105-'Допущения'!$C$108)*MIN(MAX(X6-1,0),3)/3)/'Допущения'!$C$7</f>
        <v/>
      </c>
      <c r="Y57" s="21">
        <f>Y51+('Допущения'!$C$105*'Допущения'!$C$107+IF(Y6&gt;='Допущения'!$C$9,'Допущения'!$C$105*(1-'Допущения'!$C$107),0)+MIN('Допущения'!$D$105,'Допущения'!$C$108)+MAX(0,'Допущения'!$D$105-'Допущения'!$C$108)*MIN(MAX(Y6-1,0),3)/3)/'Допущения'!$C$7</f>
        <v/>
      </c>
      <c r="Z57" s="21">
        <f>Z51+('Допущения'!$C$105*'Допущения'!$C$107+IF(Z6&gt;='Допущения'!$C$9,'Допущения'!$C$105*(1-'Допущения'!$C$107),0)+MIN('Допущения'!$D$105,'Допущения'!$C$108)+MAX(0,'Допущения'!$D$105-'Допущения'!$C$108)*MIN(MAX(Z6-1,0),3)/3)/'Допущения'!$C$7</f>
        <v/>
      </c>
      <c r="AA57" s="21">
        <f>AA51+('Допущения'!$C$105*'Допущения'!$C$107+IF(AA6&gt;='Допущения'!$C$9,'Допущения'!$C$105*(1-'Допущения'!$C$107),0)+MIN('Допущения'!$D$105,'Допущения'!$C$108)+MAX(0,'Допущения'!$D$105-'Допущения'!$C$108)*MIN(MAX(AA6-1,0),3)/3)/'Допущения'!$C$7</f>
        <v/>
      </c>
      <c r="AB57" s="21">
        <f>AB51+('Допущения'!$C$105*'Допущения'!$C$107+IF(AB6&gt;='Допущения'!$C$9,'Допущения'!$C$105*(1-'Допущения'!$C$107),0)+MIN('Допущения'!$D$105,'Допущения'!$C$108)+MAX(0,'Допущения'!$D$105-'Допущения'!$C$108)*MIN(MAX(AB6-1,0),3)/3)/'Допущения'!$C$7</f>
        <v/>
      </c>
      <c r="AC57" s="21">
        <f>AC51+('Допущения'!$C$105*'Допущения'!$C$107+IF(AC6&gt;='Допущения'!$C$9,'Допущения'!$C$105*(1-'Допущения'!$C$107),0)+MIN('Допущения'!$D$105,'Допущения'!$C$108)+MAX(0,'Допущения'!$D$105-'Допущения'!$C$108)*MIN(MAX(AC6-1,0),3)/3)/'Допущения'!$C$7</f>
        <v/>
      </c>
      <c r="AD57" s="21">
        <f>AD51+('Допущения'!$C$105*'Допущения'!$C$107+IF(AD6&gt;='Допущения'!$C$9,'Допущения'!$C$105*(1-'Допущения'!$C$107),0)+MIN('Допущения'!$D$105,'Допущения'!$C$108)+MAX(0,'Допущения'!$D$105-'Допущения'!$C$108)*MIN(MAX(AD6-1,0),3)/3)/'Допущения'!$C$7</f>
        <v/>
      </c>
      <c r="AE57" s="21">
        <f>AE51+('Допущения'!$C$105*'Допущения'!$C$107+IF(AE6&gt;='Допущения'!$C$9,'Допущения'!$C$105*(1-'Допущения'!$C$107),0)+MIN('Допущения'!$D$105,'Допущения'!$C$108)+MAX(0,'Допущения'!$D$105-'Допущения'!$C$108)*MIN(MAX(AE6-1,0),3)/3)/'Допущения'!$C$7</f>
        <v/>
      </c>
      <c r="AF57" s="21">
        <f>AF51+('Допущения'!$C$105*'Допущения'!$C$107+IF(AF6&gt;='Допущения'!$C$9,'Допущения'!$C$105*(1-'Допущения'!$C$107),0)+MIN('Допущения'!$D$105,'Допущения'!$C$108)+MAX(0,'Допущения'!$D$105-'Допущения'!$C$108)*MIN(MAX(AF6-1,0),3)/3)/'Допущения'!$C$7</f>
        <v/>
      </c>
      <c r="AG57" s="21">
        <f>AG51+('Допущения'!$C$105*'Допущения'!$C$107+IF(AG6&gt;='Допущения'!$C$9,'Допущения'!$C$105*(1-'Допущения'!$C$107),0)+MIN('Допущения'!$D$105,'Допущения'!$C$108)+MAX(0,'Допущения'!$D$105-'Допущения'!$C$108)*MIN(MAX(AG6-1,0),3)/3)/'Допущения'!$C$7</f>
        <v/>
      </c>
      <c r="AH57" s="21">
        <f>AH51+('Допущения'!$C$105*'Допущения'!$C$107+IF(AH6&gt;='Допущения'!$C$9,'Допущения'!$C$105*(1-'Допущения'!$C$107),0)+MIN('Допущения'!$D$105,'Допущения'!$C$108)+MAX(0,'Допущения'!$D$105-'Допущения'!$C$108)*MIN(MAX(AH6-1,0),3)/3)/'Допущения'!$C$7</f>
        <v/>
      </c>
      <c r="AI57" s="21">
        <f>AI51+('Допущения'!$C$105*'Допущения'!$C$107+IF(AI6&gt;='Допущения'!$C$9,'Допущения'!$C$105*(1-'Допущения'!$C$107),0)+MIN('Допущения'!$D$105,'Допущения'!$C$108)+MAX(0,'Допущения'!$D$105-'Допущения'!$C$108)*MIN(MAX(AI6-1,0),3)/3)/'Допущения'!$C$7</f>
        <v/>
      </c>
      <c r="AJ57" s="21">
        <f>AJ51+('Допущения'!$C$105*'Допущения'!$C$107+IF(AJ6&gt;='Допущения'!$C$9,'Допущения'!$C$105*(1-'Допущения'!$C$107),0)+MIN('Допущения'!$D$105,'Допущения'!$C$108)+MAX(0,'Допущения'!$D$105-'Допущения'!$C$108)*MIN(MAX(AJ6-1,0),3)/3)/'Допущения'!$C$7</f>
        <v/>
      </c>
      <c r="AK57" s="21">
        <f>AK51+('Допущения'!$C$105*'Допущения'!$C$107+IF(AK6&gt;='Допущения'!$C$9,'Допущения'!$C$105*(1-'Допущения'!$C$107),0)+MIN('Допущения'!$D$105,'Допущения'!$C$108)+MAX(0,'Допущения'!$D$105-'Допущения'!$C$108)*MIN(MAX(AK6-1,0),3)/3)/'Допущения'!$C$7</f>
        <v/>
      </c>
      <c r="AL57" s="21">
        <f>AL51+('Допущения'!$C$105*'Допущения'!$C$107+IF(AL6&gt;='Допущения'!$C$9,'Допущения'!$C$105*(1-'Допущения'!$C$107),0)+MIN('Допущения'!$D$105,'Допущения'!$C$108)+MAX(0,'Допущения'!$D$105-'Допущения'!$C$108)*MIN(MAX(AL6-1,0),3)/3)/'Допущения'!$C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C$107+IF(C6&gt;='Допущения'!$C$9,'Допущения'!$C$106*(1-'Допущения'!$C$107),0)+MIN('Допущения'!$D$106,'Допущения'!$C$108)+MAX(0,'Допущения'!$D$106-'Допущения'!$C$108)*MIN(MAX(C6-1,0),3)/3)/'Допущения'!$C$7</f>
        <v/>
      </c>
      <c r="D58" s="21">
        <f>D51+('Допущения'!$C$106*'Допущения'!$C$107+IF(D6&gt;='Допущения'!$C$9,'Допущения'!$C$106*(1-'Допущения'!$C$107),0)+MIN('Допущения'!$D$106,'Допущения'!$C$108)+MAX(0,'Допущения'!$D$106-'Допущения'!$C$108)*MIN(MAX(D6-1,0),3)/3)/'Допущения'!$C$7</f>
        <v/>
      </c>
      <c r="E58" s="21">
        <f>E51+('Допущения'!$C$106*'Допущения'!$C$107+IF(E6&gt;='Допущения'!$C$9,'Допущения'!$C$106*(1-'Допущения'!$C$107),0)+MIN('Допущения'!$D$106,'Допущения'!$C$108)+MAX(0,'Допущения'!$D$106-'Допущения'!$C$108)*MIN(MAX(E6-1,0),3)/3)/'Допущения'!$C$7</f>
        <v/>
      </c>
      <c r="F58" s="21">
        <f>F51+('Допущения'!$C$106*'Допущения'!$C$107+IF(F6&gt;='Допущения'!$C$9,'Допущения'!$C$106*(1-'Допущения'!$C$107),0)+MIN('Допущения'!$D$106,'Допущения'!$C$108)+MAX(0,'Допущения'!$D$106-'Допущения'!$C$108)*MIN(MAX(F6-1,0),3)/3)/'Допущения'!$C$7</f>
        <v/>
      </c>
      <c r="G58" s="21">
        <f>G51+('Допущения'!$C$106*'Допущения'!$C$107+IF(G6&gt;='Допущения'!$C$9,'Допущения'!$C$106*(1-'Допущения'!$C$107),0)+MIN('Допущения'!$D$106,'Допущения'!$C$108)+MAX(0,'Допущения'!$D$106-'Допущения'!$C$108)*MIN(MAX(G6-1,0),3)/3)/'Допущения'!$C$7</f>
        <v/>
      </c>
      <c r="H58" s="21">
        <f>H51+('Допущения'!$C$106*'Допущения'!$C$107+IF(H6&gt;='Допущения'!$C$9,'Допущения'!$C$106*(1-'Допущения'!$C$107),0)+MIN('Допущения'!$D$106,'Допущения'!$C$108)+MAX(0,'Допущения'!$D$106-'Допущения'!$C$108)*MIN(MAX(H6-1,0),3)/3)/'Допущения'!$C$7</f>
        <v/>
      </c>
      <c r="I58" s="21">
        <f>I51+('Допущения'!$C$106*'Допущения'!$C$107+IF(I6&gt;='Допущения'!$C$9,'Допущения'!$C$106*(1-'Допущения'!$C$107),0)+MIN('Допущения'!$D$106,'Допущения'!$C$108)+MAX(0,'Допущения'!$D$106-'Допущения'!$C$108)*MIN(MAX(I6-1,0),3)/3)/'Допущения'!$C$7</f>
        <v/>
      </c>
      <c r="J58" s="21">
        <f>J51+('Допущения'!$C$106*'Допущения'!$C$107+IF(J6&gt;='Допущения'!$C$9,'Допущения'!$C$106*(1-'Допущения'!$C$107),0)+MIN('Допущения'!$D$106,'Допущения'!$C$108)+MAX(0,'Допущения'!$D$106-'Допущения'!$C$108)*MIN(MAX(J6-1,0),3)/3)/'Допущения'!$C$7</f>
        <v/>
      </c>
      <c r="K58" s="21">
        <f>K51+('Допущения'!$C$106*'Допущения'!$C$107+IF(K6&gt;='Допущения'!$C$9,'Допущения'!$C$106*(1-'Допущения'!$C$107),0)+MIN('Допущения'!$D$106,'Допущения'!$C$108)+MAX(0,'Допущения'!$D$106-'Допущения'!$C$108)*MIN(MAX(K6-1,0),3)/3)/'Допущения'!$C$7</f>
        <v/>
      </c>
      <c r="L58" s="21">
        <f>L51+('Допущения'!$C$106*'Допущения'!$C$107+IF(L6&gt;='Допущения'!$C$9,'Допущения'!$C$106*(1-'Допущения'!$C$107),0)+MIN('Допущения'!$D$106,'Допущения'!$C$108)+MAX(0,'Допущения'!$D$106-'Допущения'!$C$108)*MIN(MAX(L6-1,0),3)/3)/'Допущения'!$C$7</f>
        <v/>
      </c>
      <c r="M58" s="21">
        <f>M51+('Допущения'!$C$106*'Допущения'!$C$107+IF(M6&gt;='Допущения'!$C$9,'Допущения'!$C$106*(1-'Допущения'!$C$107),0)+MIN('Допущения'!$D$106,'Допущения'!$C$108)+MAX(0,'Допущения'!$D$106-'Допущения'!$C$108)*MIN(MAX(M6-1,0),3)/3)/'Допущения'!$C$7</f>
        <v/>
      </c>
      <c r="N58" s="21">
        <f>N51+('Допущения'!$C$106*'Допущения'!$C$107+IF(N6&gt;='Допущения'!$C$9,'Допущения'!$C$106*(1-'Допущения'!$C$107),0)+MIN('Допущения'!$D$106,'Допущения'!$C$108)+MAX(0,'Допущения'!$D$106-'Допущения'!$C$108)*MIN(MAX(N6-1,0),3)/3)/'Допущения'!$C$7</f>
        <v/>
      </c>
      <c r="O58" s="21">
        <f>O51+('Допущения'!$C$106*'Допущения'!$C$107+IF(O6&gt;='Допущения'!$C$9,'Допущения'!$C$106*(1-'Допущения'!$C$107),0)+MIN('Допущения'!$D$106,'Допущения'!$C$108)+MAX(0,'Допущения'!$D$106-'Допущения'!$C$108)*MIN(MAX(O6-1,0),3)/3)/'Допущения'!$C$7</f>
        <v/>
      </c>
      <c r="P58" s="21">
        <f>P51+('Допущения'!$C$106*'Допущения'!$C$107+IF(P6&gt;='Допущения'!$C$9,'Допущения'!$C$106*(1-'Допущения'!$C$107),0)+MIN('Допущения'!$D$106,'Допущения'!$C$108)+MAX(0,'Допущения'!$D$106-'Допущения'!$C$108)*MIN(MAX(P6-1,0),3)/3)/'Допущения'!$C$7</f>
        <v/>
      </c>
      <c r="Q58" s="21">
        <f>Q51+('Допущения'!$C$106*'Допущения'!$C$107+IF(Q6&gt;='Допущения'!$C$9,'Допущения'!$C$106*(1-'Допущения'!$C$107),0)+MIN('Допущения'!$D$106,'Допущения'!$C$108)+MAX(0,'Допущения'!$D$106-'Допущения'!$C$108)*MIN(MAX(Q6-1,0),3)/3)/'Допущения'!$C$7</f>
        <v/>
      </c>
      <c r="R58" s="21">
        <f>R51+('Допущения'!$C$106*'Допущения'!$C$107+IF(R6&gt;='Допущения'!$C$9,'Допущения'!$C$106*(1-'Допущения'!$C$107),0)+MIN('Допущения'!$D$106,'Допущения'!$C$108)+MAX(0,'Допущения'!$D$106-'Допущения'!$C$108)*MIN(MAX(R6-1,0),3)/3)/'Допущения'!$C$7</f>
        <v/>
      </c>
      <c r="S58" s="21">
        <f>S51+('Допущения'!$C$106*'Допущения'!$C$107+IF(S6&gt;='Допущения'!$C$9,'Допущения'!$C$106*(1-'Допущения'!$C$107),0)+MIN('Допущения'!$D$106,'Допущения'!$C$108)+MAX(0,'Допущения'!$D$106-'Допущения'!$C$108)*MIN(MAX(S6-1,0),3)/3)/'Допущения'!$C$7</f>
        <v/>
      </c>
      <c r="T58" s="21">
        <f>T51+('Допущения'!$C$106*'Допущения'!$C$107+IF(T6&gt;='Допущения'!$C$9,'Допущения'!$C$106*(1-'Допущения'!$C$107),0)+MIN('Допущения'!$D$106,'Допущения'!$C$108)+MAX(0,'Допущения'!$D$106-'Допущения'!$C$108)*MIN(MAX(T6-1,0),3)/3)/'Допущения'!$C$7</f>
        <v/>
      </c>
      <c r="U58" s="21">
        <f>U51+('Допущения'!$C$106*'Допущения'!$C$107+IF(U6&gt;='Допущения'!$C$9,'Допущения'!$C$106*(1-'Допущения'!$C$107),0)+MIN('Допущения'!$D$106,'Допущения'!$C$108)+MAX(0,'Допущения'!$D$106-'Допущения'!$C$108)*MIN(MAX(U6-1,0),3)/3)/'Допущения'!$C$7</f>
        <v/>
      </c>
      <c r="V58" s="21">
        <f>V51+('Допущения'!$C$106*'Допущения'!$C$107+IF(V6&gt;='Допущения'!$C$9,'Допущения'!$C$106*(1-'Допущения'!$C$107),0)+MIN('Допущения'!$D$106,'Допущения'!$C$108)+MAX(0,'Допущения'!$D$106-'Допущения'!$C$108)*MIN(MAX(V6-1,0),3)/3)/'Допущения'!$C$7</f>
        <v/>
      </c>
      <c r="W58" s="21">
        <f>W51+('Допущения'!$C$106*'Допущения'!$C$107+IF(W6&gt;='Допущения'!$C$9,'Допущения'!$C$106*(1-'Допущения'!$C$107),0)+MIN('Допущения'!$D$106,'Допущения'!$C$108)+MAX(0,'Допущения'!$D$106-'Допущения'!$C$108)*MIN(MAX(W6-1,0),3)/3)/'Допущения'!$C$7</f>
        <v/>
      </c>
      <c r="X58" s="21">
        <f>X51+('Допущения'!$C$106*'Допущения'!$C$107+IF(X6&gt;='Допущения'!$C$9,'Допущения'!$C$106*(1-'Допущения'!$C$107),0)+MIN('Допущения'!$D$106,'Допущения'!$C$108)+MAX(0,'Допущения'!$D$106-'Допущения'!$C$108)*MIN(MAX(X6-1,0),3)/3)/'Допущения'!$C$7</f>
        <v/>
      </c>
      <c r="Y58" s="21">
        <f>Y51+('Допущения'!$C$106*'Допущения'!$C$107+IF(Y6&gt;='Допущения'!$C$9,'Допущения'!$C$106*(1-'Допущения'!$C$107),0)+MIN('Допущения'!$D$106,'Допущения'!$C$108)+MAX(0,'Допущения'!$D$106-'Допущения'!$C$108)*MIN(MAX(Y6-1,0),3)/3)/'Допущения'!$C$7</f>
        <v/>
      </c>
      <c r="Z58" s="21">
        <f>Z51+('Допущения'!$C$106*'Допущения'!$C$107+IF(Z6&gt;='Допущения'!$C$9,'Допущения'!$C$106*(1-'Допущения'!$C$107),0)+MIN('Допущения'!$D$106,'Допущения'!$C$108)+MAX(0,'Допущения'!$D$106-'Допущения'!$C$108)*MIN(MAX(Z6-1,0),3)/3)/'Допущения'!$C$7</f>
        <v/>
      </c>
      <c r="AA58" s="21">
        <f>AA51+('Допущения'!$C$106*'Допущения'!$C$107+IF(AA6&gt;='Допущения'!$C$9,'Допущения'!$C$106*(1-'Допущения'!$C$107),0)+MIN('Допущения'!$D$106,'Допущения'!$C$108)+MAX(0,'Допущения'!$D$106-'Допущения'!$C$108)*MIN(MAX(AA6-1,0),3)/3)/'Допущения'!$C$7</f>
        <v/>
      </c>
      <c r="AB58" s="21">
        <f>AB51+('Допущения'!$C$106*'Допущения'!$C$107+IF(AB6&gt;='Допущения'!$C$9,'Допущения'!$C$106*(1-'Допущения'!$C$107),0)+MIN('Допущения'!$D$106,'Допущения'!$C$108)+MAX(0,'Допущения'!$D$106-'Допущения'!$C$108)*MIN(MAX(AB6-1,0),3)/3)/'Допущения'!$C$7</f>
        <v/>
      </c>
      <c r="AC58" s="21">
        <f>AC51+('Допущения'!$C$106*'Допущения'!$C$107+IF(AC6&gt;='Допущения'!$C$9,'Допущения'!$C$106*(1-'Допущения'!$C$107),0)+MIN('Допущения'!$D$106,'Допущения'!$C$108)+MAX(0,'Допущения'!$D$106-'Допущения'!$C$108)*MIN(MAX(AC6-1,0),3)/3)/'Допущения'!$C$7</f>
        <v/>
      </c>
      <c r="AD58" s="21">
        <f>AD51+('Допущения'!$C$106*'Допущения'!$C$107+IF(AD6&gt;='Допущения'!$C$9,'Допущения'!$C$106*(1-'Допущения'!$C$107),0)+MIN('Допущения'!$D$106,'Допущения'!$C$108)+MAX(0,'Допущения'!$D$106-'Допущения'!$C$108)*MIN(MAX(AD6-1,0),3)/3)/'Допущения'!$C$7</f>
        <v/>
      </c>
      <c r="AE58" s="21">
        <f>AE51+('Допущения'!$C$106*'Допущения'!$C$107+IF(AE6&gt;='Допущения'!$C$9,'Допущения'!$C$106*(1-'Допущения'!$C$107),0)+MIN('Допущения'!$D$106,'Допущения'!$C$108)+MAX(0,'Допущения'!$D$106-'Допущения'!$C$108)*MIN(MAX(AE6-1,0),3)/3)/'Допущения'!$C$7</f>
        <v/>
      </c>
      <c r="AF58" s="21">
        <f>AF51+('Допущения'!$C$106*'Допущения'!$C$107+IF(AF6&gt;='Допущения'!$C$9,'Допущения'!$C$106*(1-'Допущения'!$C$107),0)+MIN('Допущения'!$D$106,'Допущения'!$C$108)+MAX(0,'Допущения'!$D$106-'Допущения'!$C$108)*MIN(MAX(AF6-1,0),3)/3)/'Допущения'!$C$7</f>
        <v/>
      </c>
      <c r="AG58" s="21">
        <f>AG51+('Допущения'!$C$106*'Допущения'!$C$107+IF(AG6&gt;='Допущения'!$C$9,'Допущения'!$C$106*(1-'Допущения'!$C$107),0)+MIN('Допущения'!$D$106,'Допущения'!$C$108)+MAX(0,'Допущения'!$D$106-'Допущения'!$C$108)*MIN(MAX(AG6-1,0),3)/3)/'Допущения'!$C$7</f>
        <v/>
      </c>
      <c r="AH58" s="21">
        <f>AH51+('Допущения'!$C$106*'Допущения'!$C$107+IF(AH6&gt;='Допущения'!$C$9,'Допущения'!$C$106*(1-'Допущения'!$C$107),0)+MIN('Допущения'!$D$106,'Допущения'!$C$108)+MAX(0,'Допущения'!$D$106-'Допущения'!$C$108)*MIN(MAX(AH6-1,0),3)/3)/'Допущения'!$C$7</f>
        <v/>
      </c>
      <c r="AI58" s="21">
        <f>AI51+('Допущения'!$C$106*'Допущения'!$C$107+IF(AI6&gt;='Допущения'!$C$9,'Допущения'!$C$106*(1-'Допущения'!$C$107),0)+MIN('Допущения'!$D$106,'Допущения'!$C$108)+MAX(0,'Допущения'!$D$106-'Допущения'!$C$108)*MIN(MAX(AI6-1,0),3)/3)/'Допущения'!$C$7</f>
        <v/>
      </c>
      <c r="AJ58" s="21">
        <f>AJ51+('Допущения'!$C$106*'Допущения'!$C$107+IF(AJ6&gt;='Допущения'!$C$9,'Допущения'!$C$106*(1-'Допущения'!$C$107),0)+MIN('Допущения'!$D$106,'Допущения'!$C$108)+MAX(0,'Допущения'!$D$106-'Допущения'!$C$108)*MIN(MAX(AJ6-1,0),3)/3)/'Допущения'!$C$7</f>
        <v/>
      </c>
      <c r="AK58" s="21">
        <f>AK51+('Допущения'!$C$106*'Допущения'!$C$107+IF(AK6&gt;='Допущения'!$C$9,'Допущения'!$C$106*(1-'Допущения'!$C$107),0)+MIN('Допущения'!$D$106,'Допущения'!$C$108)+MAX(0,'Допущения'!$D$106-'Допущения'!$C$108)*MIN(MAX(AK6-1,0),3)/3)/'Допущения'!$C$7</f>
        <v/>
      </c>
      <c r="AL58" s="21">
        <f>AL51+('Допущения'!$C$106*'Допущения'!$C$107+IF(AL6&gt;='Допущения'!$C$9,'Допущения'!$C$106*(1-'Допущения'!$C$107),0)+MIN('Допущения'!$D$106,'Допущения'!$C$108)+MAX(0,'Допущения'!$D$106-'Допущения'!$C$108)*MIN(MAX(AL6-1,0),3)/3)/'Допущения'!$C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AL50+AL60*12*'Допущения'!$C$100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-MIN($C$51:$AL$51)*'Допущения'!$C$7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'Себестоимость'!$C$13*'Себестоимость'!$C$15/'Допущения'!$C$69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NPV((1+'Допущения'!$C$99)^(1/12)-1,$C$65:$AL$65)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SUMIF($C$6:$AL$6,"&lt;="&amp;'Допущения'!$C$9,$C$34:$AL$34)+SUMIF($C$6:$AL$6,"&lt;="&amp;'Допущения'!$C$9,$C$47:$AL$47)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Оптимистичный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IF(C6&gt;='Допущения'!$E$9,1,0)</f>
        <v/>
      </c>
      <c r="D9" s="11">
        <f>IF(D6&gt;='Допущения'!$E$9,1,0)</f>
        <v/>
      </c>
      <c r="E9" s="11">
        <f>IF(E6&gt;='Допущения'!$E$9,1,0)</f>
        <v/>
      </c>
      <c r="F9" s="11">
        <f>IF(F6&gt;='Допущения'!$E$9,1,0)</f>
        <v/>
      </c>
      <c r="G9" s="11">
        <f>IF(G6&gt;='Допущения'!$E$9,1,0)</f>
        <v/>
      </c>
      <c r="H9" s="11">
        <f>IF(H6&gt;='Допущения'!$E$9,1,0)</f>
        <v/>
      </c>
      <c r="I9" s="11">
        <f>IF(I6&gt;='Допущения'!$E$9,1,0)</f>
        <v/>
      </c>
      <c r="J9" s="11">
        <f>IF(J6&gt;='Допущения'!$E$9,1,0)</f>
        <v/>
      </c>
      <c r="K9" s="11">
        <f>IF(K6&gt;='Допущения'!$E$9,1,0)</f>
        <v/>
      </c>
      <c r="L9" s="11">
        <f>IF(L6&gt;='Допущения'!$E$9,1,0)</f>
        <v/>
      </c>
      <c r="M9" s="11">
        <f>IF(M6&gt;='Допущения'!$E$9,1,0)</f>
        <v/>
      </c>
      <c r="N9" s="11">
        <f>IF(N6&gt;='Допущения'!$E$9,1,0)</f>
        <v/>
      </c>
      <c r="O9" s="11">
        <f>IF(O6&gt;='Допущения'!$E$9,1,0)</f>
        <v/>
      </c>
      <c r="P9" s="11">
        <f>IF(P6&gt;='Допущения'!$E$9,1,0)</f>
        <v/>
      </c>
      <c r="Q9" s="11">
        <f>IF(Q6&gt;='Допущения'!$E$9,1,0)</f>
        <v/>
      </c>
      <c r="R9" s="11">
        <f>IF(R6&gt;='Допущения'!$E$9,1,0)</f>
        <v/>
      </c>
      <c r="S9" s="11">
        <f>IF(S6&gt;='Допущения'!$E$9,1,0)</f>
        <v/>
      </c>
      <c r="T9" s="11">
        <f>IF(T6&gt;='Допущения'!$E$9,1,0)</f>
        <v/>
      </c>
      <c r="U9" s="11">
        <f>IF(U6&gt;='Допущения'!$E$9,1,0)</f>
        <v/>
      </c>
      <c r="V9" s="11">
        <f>IF(V6&gt;='Допущения'!$E$9,1,0)</f>
        <v/>
      </c>
      <c r="W9" s="11">
        <f>IF(W6&gt;='Допущения'!$E$9,1,0)</f>
        <v/>
      </c>
      <c r="X9" s="11">
        <f>IF(X6&gt;='Допущения'!$E$9,1,0)</f>
        <v/>
      </c>
      <c r="Y9" s="11">
        <f>IF(Y6&gt;='Допущения'!$E$9,1,0)</f>
        <v/>
      </c>
      <c r="Z9" s="11">
        <f>IF(Z6&gt;='Допущения'!$E$9,1,0)</f>
        <v/>
      </c>
      <c r="AA9" s="11">
        <f>IF(AA6&gt;='Допущения'!$E$9,1,0)</f>
        <v/>
      </c>
      <c r="AB9" s="11">
        <f>IF(AB6&gt;='Допущения'!$E$9,1,0)</f>
        <v/>
      </c>
      <c r="AC9" s="11">
        <f>IF(AC6&gt;='Допущения'!$E$9,1,0)</f>
        <v/>
      </c>
      <c r="AD9" s="11">
        <f>IF(AD6&gt;='Допущения'!$E$9,1,0)</f>
        <v/>
      </c>
      <c r="AE9" s="11">
        <f>IF(AE6&gt;='Допущения'!$E$9,1,0)</f>
        <v/>
      </c>
      <c r="AF9" s="11">
        <f>IF(AF6&gt;='Допущения'!$E$9,1,0)</f>
        <v/>
      </c>
      <c r="AG9" s="11">
        <f>IF(AG6&gt;='Допущения'!$E$9,1,0)</f>
        <v/>
      </c>
      <c r="AH9" s="11">
        <f>IF(AH6&gt;='Допущения'!$E$9,1,0)</f>
        <v/>
      </c>
      <c r="AI9" s="11">
        <f>IF(AI6&gt;='Допущения'!$E$9,1,0)</f>
        <v/>
      </c>
      <c r="AJ9" s="11">
        <f>IF(AJ6&gt;='Допущения'!$E$9,1,0)</f>
        <v/>
      </c>
      <c r="AK9" s="11">
        <f>IF(AK6&gt;='Допущения'!$E$9,1,0)</f>
        <v/>
      </c>
      <c r="AL9" s="11">
        <f>IF(AL6&gt;='Допущения'!$E$9,1,0)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IF(C9=1,MAX('Допущения'!$E$83,'Допущения'!$E$84*0)+IF(C6='Допущения'!$E$9,'Допущения'!$E$82,0),'Допущения'!$E$81)</f>
        <v/>
      </c>
      <c r="D11" s="21">
        <f>IF(D9=1,MAX('Допущения'!$E$83,'Допущения'!$E$84*C28)+IF(D6='Допущения'!$E$9,'Допущения'!$E$82,0),'Допущения'!$E$81)</f>
        <v/>
      </c>
      <c r="E11" s="21">
        <f>IF(E9=1,MAX('Допущения'!$E$83,'Допущения'!$E$84*D28)+IF(E6='Допущения'!$E$9,'Допущения'!$E$82,0),'Допущения'!$E$81)</f>
        <v/>
      </c>
      <c r="F11" s="21">
        <f>IF(F9=1,MAX('Допущения'!$E$83,'Допущения'!$E$84*E28)+IF(F6='Допущения'!$E$9,'Допущения'!$E$82,0),'Допущения'!$E$81)</f>
        <v/>
      </c>
      <c r="G11" s="21">
        <f>IF(G9=1,MAX('Допущения'!$E$83,'Допущения'!$E$84*F28)+IF(G6='Допущения'!$E$9,'Допущения'!$E$82,0),'Допущения'!$E$81)</f>
        <v/>
      </c>
      <c r="H11" s="21">
        <f>IF(H9=1,MAX('Допущения'!$E$83,'Допущения'!$E$84*G28)+IF(H6='Допущения'!$E$9,'Допущения'!$E$82,0),'Допущения'!$E$81)</f>
        <v/>
      </c>
      <c r="I11" s="21">
        <f>IF(I9=1,MAX('Допущения'!$E$83,'Допущения'!$E$84*H28)+IF(I6='Допущения'!$E$9,'Допущения'!$E$82,0),'Допущения'!$E$81)</f>
        <v/>
      </c>
      <c r="J11" s="21">
        <f>IF(J9=1,MAX('Допущения'!$E$83,'Допущения'!$E$84*I28)+IF(J6='Допущения'!$E$9,'Допущения'!$E$82,0),'Допущения'!$E$81)</f>
        <v/>
      </c>
      <c r="K11" s="21">
        <f>IF(K9=1,MAX('Допущения'!$E$83,'Допущения'!$E$84*J28)+IF(K6='Допущения'!$E$9,'Допущения'!$E$82,0),'Допущения'!$E$81)</f>
        <v/>
      </c>
      <c r="L11" s="21">
        <f>IF(L9=1,MAX('Допущения'!$E$83,'Допущения'!$E$84*K28)+IF(L6='Допущения'!$E$9,'Допущения'!$E$82,0),'Допущения'!$E$81)</f>
        <v/>
      </c>
      <c r="M11" s="21">
        <f>IF(M9=1,MAX('Допущения'!$E$83,'Допущения'!$E$84*L28)+IF(M6='Допущения'!$E$9,'Допущения'!$E$82,0),'Допущения'!$E$81)</f>
        <v/>
      </c>
      <c r="N11" s="21">
        <f>IF(N9=1,MAX('Допущения'!$E$83,'Допущения'!$E$84*M28)+IF(N6='Допущения'!$E$9,'Допущения'!$E$82,0),'Допущения'!$E$81)</f>
        <v/>
      </c>
      <c r="O11" s="21">
        <f>IF(O9=1,MAX('Допущения'!$E$83,'Допущения'!$E$84*N28)+IF(O6='Допущения'!$E$9,'Допущения'!$E$82,0),'Допущения'!$E$81)</f>
        <v/>
      </c>
      <c r="P11" s="21">
        <f>IF(P9=1,MAX('Допущения'!$E$83,'Допущения'!$E$84*O28)+IF(P6='Допущения'!$E$9,'Допущения'!$E$82,0),'Допущения'!$E$81)</f>
        <v/>
      </c>
      <c r="Q11" s="21">
        <f>IF(Q9=1,MAX('Допущения'!$E$83,'Допущения'!$E$84*P28)+IF(Q6='Допущения'!$E$9,'Допущения'!$E$82,0),'Допущения'!$E$81)</f>
        <v/>
      </c>
      <c r="R11" s="21">
        <f>IF(R9=1,MAX('Допущения'!$E$83,'Допущения'!$E$84*Q28)+IF(R6='Допущения'!$E$9,'Допущения'!$E$82,0),'Допущения'!$E$81)</f>
        <v/>
      </c>
      <c r="S11" s="21">
        <f>IF(S9=1,MAX('Допущения'!$E$83,'Допущения'!$E$84*R28)+IF(S6='Допущения'!$E$9,'Допущения'!$E$82,0),'Допущения'!$E$81)</f>
        <v/>
      </c>
      <c r="T11" s="21">
        <f>IF(T9=1,MAX('Допущения'!$E$83,'Допущения'!$E$84*S28)+IF(T6='Допущения'!$E$9,'Допущения'!$E$82,0),'Допущения'!$E$81)</f>
        <v/>
      </c>
      <c r="U11" s="21">
        <f>IF(U9=1,MAX('Допущения'!$E$83,'Допущения'!$E$84*T28)+IF(U6='Допущения'!$E$9,'Допущения'!$E$82,0),'Допущения'!$E$81)</f>
        <v/>
      </c>
      <c r="V11" s="21">
        <f>IF(V9=1,MAX('Допущения'!$E$83,'Допущения'!$E$84*U28)+IF(V6='Допущения'!$E$9,'Допущения'!$E$82,0),'Допущения'!$E$81)</f>
        <v/>
      </c>
      <c r="W11" s="21">
        <f>IF(W9=1,MAX('Допущения'!$E$83,'Допущения'!$E$84*V28)+IF(W6='Допущения'!$E$9,'Допущения'!$E$82,0),'Допущения'!$E$81)</f>
        <v/>
      </c>
      <c r="X11" s="21">
        <f>IF(X9=1,MAX('Допущения'!$E$83,'Допущения'!$E$84*W28)+IF(X6='Допущения'!$E$9,'Допущения'!$E$82,0),'Допущения'!$E$81)</f>
        <v/>
      </c>
      <c r="Y11" s="21">
        <f>IF(Y9=1,MAX('Допущения'!$E$83,'Допущения'!$E$84*X28)+IF(Y6='Допущения'!$E$9,'Допущения'!$E$82,0),'Допущения'!$E$81)</f>
        <v/>
      </c>
      <c r="Z11" s="21">
        <f>IF(Z9=1,MAX('Допущения'!$E$83,'Допущения'!$E$84*Y28)+IF(Z6='Допущения'!$E$9,'Допущения'!$E$82,0),'Допущения'!$E$81)</f>
        <v/>
      </c>
      <c r="AA11" s="21">
        <f>IF(AA9=1,MAX('Допущения'!$E$83,'Допущения'!$E$84*Z28)+IF(AA6='Допущения'!$E$9,'Допущения'!$E$82,0),'Допущения'!$E$81)</f>
        <v/>
      </c>
      <c r="AB11" s="21">
        <f>IF(AB9=1,MAX('Допущения'!$E$83,'Допущения'!$E$84*AA28)+IF(AB6='Допущения'!$E$9,'Допущения'!$E$82,0),'Допущения'!$E$81)</f>
        <v/>
      </c>
      <c r="AC11" s="21">
        <f>IF(AC9=1,MAX('Допущения'!$E$83,'Допущения'!$E$84*AB28)+IF(AC6='Допущения'!$E$9,'Допущения'!$E$82,0),'Допущения'!$E$81)</f>
        <v/>
      </c>
      <c r="AD11" s="21">
        <f>IF(AD9=1,MAX('Допущения'!$E$83,'Допущения'!$E$84*AC28)+IF(AD6='Допущения'!$E$9,'Допущения'!$E$82,0),'Допущения'!$E$81)</f>
        <v/>
      </c>
      <c r="AE11" s="21">
        <f>IF(AE9=1,MAX('Допущения'!$E$83,'Допущения'!$E$84*AD28)+IF(AE6='Допущения'!$E$9,'Допущения'!$E$82,0),'Допущения'!$E$81)</f>
        <v/>
      </c>
      <c r="AF11" s="21">
        <f>IF(AF9=1,MAX('Допущения'!$E$83,'Допущения'!$E$84*AE28)+IF(AF6='Допущения'!$E$9,'Допущения'!$E$82,0),'Допущения'!$E$81)</f>
        <v/>
      </c>
      <c r="AG11" s="21">
        <f>IF(AG9=1,MAX('Допущения'!$E$83,'Допущения'!$E$84*AF28)+IF(AG6='Допущения'!$E$9,'Допущения'!$E$82,0),'Допущения'!$E$81)</f>
        <v/>
      </c>
      <c r="AH11" s="21">
        <f>IF(AH9=1,MAX('Допущения'!$E$83,'Допущения'!$E$84*AG28)+IF(AH6='Допущения'!$E$9,'Допущения'!$E$82,0),'Допущения'!$E$81)</f>
        <v/>
      </c>
      <c r="AI11" s="21">
        <f>IF(AI9=1,MAX('Допущения'!$E$83,'Допущения'!$E$84*AH28)+IF(AI6='Допущения'!$E$9,'Допущения'!$E$82,0),'Допущения'!$E$81)</f>
        <v/>
      </c>
      <c r="AJ11" s="21">
        <f>IF(AJ9=1,MAX('Допущения'!$E$83,'Допущения'!$E$84*AI28)+IF(AJ6='Допущения'!$E$9,'Допущения'!$E$82,0),'Допущения'!$E$81)</f>
        <v/>
      </c>
      <c r="AK11" s="21">
        <f>IF(AK9=1,MAX('Допущения'!$E$83,'Допущения'!$E$84*AJ28)+IF(AK6='Допущения'!$E$9,'Допущения'!$E$82,0),'Допущения'!$E$81)</f>
        <v/>
      </c>
      <c r="AL11" s="21">
        <f>IF(AL9=1,MAX('Допущения'!$E$83,'Допущения'!$E$84*AK28)+IF(AL6='Допущения'!$E$9,'Допущения'!$E$82,0),'Допущения'!$E$81)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IF(C9=1,C11/'Допущения'!$E$60,0)</f>
        <v/>
      </c>
      <c r="D12" s="14">
        <f>IF(D9=1,D11/'Допущения'!$E$60,0)</f>
        <v/>
      </c>
      <c r="E12" s="14">
        <f>IF(E9=1,E11/'Допущения'!$E$60,0)</f>
        <v/>
      </c>
      <c r="F12" s="14">
        <f>IF(F9=1,F11/'Допущения'!$E$60,0)</f>
        <v/>
      </c>
      <c r="G12" s="14">
        <f>IF(G9=1,G11/'Допущения'!$E$60,0)</f>
        <v/>
      </c>
      <c r="H12" s="14">
        <f>IF(H9=1,H11/'Допущения'!$E$60,0)</f>
        <v/>
      </c>
      <c r="I12" s="14">
        <f>IF(I9=1,I11/'Допущения'!$E$60,0)</f>
        <v/>
      </c>
      <c r="J12" s="14">
        <f>IF(J9=1,J11/'Допущения'!$E$60,0)</f>
        <v/>
      </c>
      <c r="K12" s="14">
        <f>IF(K9=1,K11/'Допущения'!$E$60,0)</f>
        <v/>
      </c>
      <c r="L12" s="14">
        <f>IF(L9=1,L11/'Допущения'!$E$60,0)</f>
        <v/>
      </c>
      <c r="M12" s="14">
        <f>IF(M9=1,M11/'Допущения'!$E$60,0)</f>
        <v/>
      </c>
      <c r="N12" s="14">
        <f>IF(N9=1,N11/'Допущения'!$E$60,0)</f>
        <v/>
      </c>
      <c r="O12" s="14">
        <f>IF(O9=1,O11/'Допущения'!$E$60,0)</f>
        <v/>
      </c>
      <c r="P12" s="14">
        <f>IF(P9=1,P11/'Допущения'!$E$60,0)</f>
        <v/>
      </c>
      <c r="Q12" s="14">
        <f>IF(Q9=1,Q11/'Допущения'!$E$60,0)</f>
        <v/>
      </c>
      <c r="R12" s="14">
        <f>IF(R9=1,R11/'Допущения'!$E$60,0)</f>
        <v/>
      </c>
      <c r="S12" s="14">
        <f>IF(S9=1,S11/'Допущения'!$E$60,0)</f>
        <v/>
      </c>
      <c r="T12" s="14">
        <f>IF(T9=1,T11/'Допущения'!$E$60,0)</f>
        <v/>
      </c>
      <c r="U12" s="14">
        <f>IF(U9=1,U11/'Допущения'!$E$60,0)</f>
        <v/>
      </c>
      <c r="V12" s="14">
        <f>IF(V9=1,V11/'Допущения'!$E$60,0)</f>
        <v/>
      </c>
      <c r="W12" s="14">
        <f>IF(W9=1,W11/'Допущения'!$E$60,0)</f>
        <v/>
      </c>
      <c r="X12" s="14">
        <f>IF(X9=1,X11/'Допущения'!$E$60,0)</f>
        <v/>
      </c>
      <c r="Y12" s="14">
        <f>IF(Y9=1,Y11/'Допущения'!$E$60,0)</f>
        <v/>
      </c>
      <c r="Z12" s="14">
        <f>IF(Z9=1,Z11/'Допущения'!$E$60,0)</f>
        <v/>
      </c>
      <c r="AA12" s="14">
        <f>IF(AA9=1,AA11/'Допущения'!$E$60,0)</f>
        <v/>
      </c>
      <c r="AB12" s="14">
        <f>IF(AB9=1,AB11/'Допущения'!$E$60,0)</f>
        <v/>
      </c>
      <c r="AC12" s="14">
        <f>IF(AC9=1,AC11/'Допущения'!$E$60,0)</f>
        <v/>
      </c>
      <c r="AD12" s="14">
        <f>IF(AD9=1,AD11/'Допущения'!$E$60,0)</f>
        <v/>
      </c>
      <c r="AE12" s="14">
        <f>IF(AE9=1,AE11/'Допущения'!$E$60,0)</f>
        <v/>
      </c>
      <c r="AF12" s="14">
        <f>IF(AF9=1,AF11/'Допущения'!$E$60,0)</f>
        <v/>
      </c>
      <c r="AG12" s="14">
        <f>IF(AG9=1,AG11/'Допущения'!$E$60,0)</f>
        <v/>
      </c>
      <c r="AH12" s="14">
        <f>IF(AH9=1,AH11/'Допущения'!$E$60,0)</f>
        <v/>
      </c>
      <c r="AI12" s="14">
        <f>IF(AI9=1,AI11/'Допущения'!$E$60,0)</f>
        <v/>
      </c>
      <c r="AJ12" s="14">
        <f>IF(AJ9=1,AJ11/'Допущения'!$E$60,0)</f>
        <v/>
      </c>
      <c r="AK12" s="14">
        <f>IF(AK9=1,AK11/'Допущения'!$E$60,0)</f>
        <v/>
      </c>
      <c r="AL12" s="14">
        <f>IF(AL9=1,AL11/'Допущения'!$E$60,0)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IF(C9=1,MIN('Допущения'!$E$63,'Допущения'!$E$61*(1+'Допущения'!$E$62)^(C6-'Допущения'!$E$9)),0)</f>
        <v/>
      </c>
      <c r="D13" s="14">
        <f>IF(D9=1,MIN('Допущения'!$E$63,'Допущения'!$E$61*(1+'Допущения'!$E$62)^(D6-'Допущения'!$E$9)),0)</f>
        <v/>
      </c>
      <c r="E13" s="14">
        <f>IF(E9=1,MIN('Допущения'!$E$63,'Допущения'!$E$61*(1+'Допущения'!$E$62)^(E6-'Допущения'!$E$9)),0)</f>
        <v/>
      </c>
      <c r="F13" s="14">
        <f>IF(F9=1,MIN('Допущения'!$E$63,'Допущения'!$E$61*(1+'Допущения'!$E$62)^(F6-'Допущения'!$E$9)),0)</f>
        <v/>
      </c>
      <c r="G13" s="14">
        <f>IF(G9=1,MIN('Допущения'!$E$63,'Допущения'!$E$61*(1+'Допущения'!$E$62)^(G6-'Допущения'!$E$9)),0)</f>
        <v/>
      </c>
      <c r="H13" s="14">
        <f>IF(H9=1,MIN('Допущения'!$E$63,'Допущения'!$E$61*(1+'Допущения'!$E$62)^(H6-'Допущения'!$E$9)),0)</f>
        <v/>
      </c>
      <c r="I13" s="14">
        <f>IF(I9=1,MIN('Допущения'!$E$63,'Допущения'!$E$61*(1+'Допущения'!$E$62)^(I6-'Допущения'!$E$9)),0)</f>
        <v/>
      </c>
      <c r="J13" s="14">
        <f>IF(J9=1,MIN('Допущения'!$E$63,'Допущения'!$E$61*(1+'Допущения'!$E$62)^(J6-'Допущения'!$E$9)),0)</f>
        <v/>
      </c>
      <c r="K13" s="14">
        <f>IF(K9=1,MIN('Допущения'!$E$63,'Допущения'!$E$61*(1+'Допущения'!$E$62)^(K6-'Допущения'!$E$9)),0)</f>
        <v/>
      </c>
      <c r="L13" s="14">
        <f>IF(L9=1,MIN('Допущения'!$E$63,'Допущения'!$E$61*(1+'Допущения'!$E$62)^(L6-'Допущения'!$E$9)),0)</f>
        <v/>
      </c>
      <c r="M13" s="14">
        <f>IF(M9=1,MIN('Допущения'!$E$63,'Допущения'!$E$61*(1+'Допущения'!$E$62)^(M6-'Допущения'!$E$9)),0)</f>
        <v/>
      </c>
      <c r="N13" s="14">
        <f>IF(N9=1,MIN('Допущения'!$E$63,'Допущения'!$E$61*(1+'Допущения'!$E$62)^(N6-'Допущения'!$E$9)),0)</f>
        <v/>
      </c>
      <c r="O13" s="14">
        <f>IF(O9=1,MIN('Допущения'!$E$63,'Допущения'!$E$61*(1+'Допущения'!$E$62)^(O6-'Допущения'!$E$9)),0)</f>
        <v/>
      </c>
      <c r="P13" s="14">
        <f>IF(P9=1,MIN('Допущения'!$E$63,'Допущения'!$E$61*(1+'Допущения'!$E$62)^(P6-'Допущения'!$E$9)),0)</f>
        <v/>
      </c>
      <c r="Q13" s="14">
        <f>IF(Q9=1,MIN('Допущения'!$E$63,'Допущения'!$E$61*(1+'Допущения'!$E$62)^(Q6-'Допущения'!$E$9)),0)</f>
        <v/>
      </c>
      <c r="R13" s="14">
        <f>IF(R9=1,MIN('Допущения'!$E$63,'Допущения'!$E$61*(1+'Допущения'!$E$62)^(R6-'Допущения'!$E$9)),0)</f>
        <v/>
      </c>
      <c r="S13" s="14">
        <f>IF(S9=1,MIN('Допущения'!$E$63,'Допущения'!$E$61*(1+'Допущения'!$E$62)^(S6-'Допущения'!$E$9)),0)</f>
        <v/>
      </c>
      <c r="T13" s="14">
        <f>IF(T9=1,MIN('Допущения'!$E$63,'Допущения'!$E$61*(1+'Допущения'!$E$62)^(T6-'Допущения'!$E$9)),0)</f>
        <v/>
      </c>
      <c r="U13" s="14">
        <f>IF(U9=1,MIN('Допущения'!$E$63,'Допущения'!$E$61*(1+'Допущения'!$E$62)^(U6-'Допущения'!$E$9)),0)</f>
        <v/>
      </c>
      <c r="V13" s="14">
        <f>IF(V9=1,MIN('Допущения'!$E$63,'Допущения'!$E$61*(1+'Допущения'!$E$62)^(V6-'Допущения'!$E$9)),0)</f>
        <v/>
      </c>
      <c r="W13" s="14">
        <f>IF(W9=1,MIN('Допущения'!$E$63,'Допущения'!$E$61*(1+'Допущения'!$E$62)^(W6-'Допущения'!$E$9)),0)</f>
        <v/>
      </c>
      <c r="X13" s="14">
        <f>IF(X9=1,MIN('Допущения'!$E$63,'Допущения'!$E$61*(1+'Допущения'!$E$62)^(X6-'Допущения'!$E$9)),0)</f>
        <v/>
      </c>
      <c r="Y13" s="14">
        <f>IF(Y9=1,MIN('Допущения'!$E$63,'Допущения'!$E$61*(1+'Допущения'!$E$62)^(Y6-'Допущения'!$E$9)),0)</f>
        <v/>
      </c>
      <c r="Z13" s="14">
        <f>IF(Z9=1,MIN('Допущения'!$E$63,'Допущения'!$E$61*(1+'Допущения'!$E$62)^(Z6-'Допущения'!$E$9)),0)</f>
        <v/>
      </c>
      <c r="AA13" s="14">
        <f>IF(AA9=1,MIN('Допущения'!$E$63,'Допущения'!$E$61*(1+'Допущения'!$E$62)^(AA6-'Допущения'!$E$9)),0)</f>
        <v/>
      </c>
      <c r="AB13" s="14">
        <f>IF(AB9=1,MIN('Допущения'!$E$63,'Допущения'!$E$61*(1+'Допущения'!$E$62)^(AB6-'Допущения'!$E$9)),0)</f>
        <v/>
      </c>
      <c r="AC13" s="14">
        <f>IF(AC9=1,MIN('Допущения'!$E$63,'Допущения'!$E$61*(1+'Допущения'!$E$62)^(AC6-'Допущения'!$E$9)),0)</f>
        <v/>
      </c>
      <c r="AD13" s="14">
        <f>IF(AD9=1,MIN('Допущения'!$E$63,'Допущения'!$E$61*(1+'Допущения'!$E$62)^(AD6-'Допущения'!$E$9)),0)</f>
        <v/>
      </c>
      <c r="AE13" s="14">
        <f>IF(AE9=1,MIN('Допущения'!$E$63,'Допущения'!$E$61*(1+'Допущения'!$E$62)^(AE6-'Допущения'!$E$9)),0)</f>
        <v/>
      </c>
      <c r="AF13" s="14">
        <f>IF(AF9=1,MIN('Допущения'!$E$63,'Допущения'!$E$61*(1+'Допущения'!$E$62)^(AF6-'Допущения'!$E$9)),0)</f>
        <v/>
      </c>
      <c r="AG13" s="14">
        <f>IF(AG9=1,MIN('Допущения'!$E$63,'Допущения'!$E$61*(1+'Допущения'!$E$62)^(AG6-'Допущения'!$E$9)),0)</f>
        <v/>
      </c>
      <c r="AH13" s="14">
        <f>IF(AH9=1,MIN('Допущения'!$E$63,'Допущения'!$E$61*(1+'Допущения'!$E$62)^(AH6-'Допущения'!$E$9)),0)</f>
        <v/>
      </c>
      <c r="AI13" s="14">
        <f>IF(AI9=1,MIN('Допущения'!$E$63,'Допущения'!$E$61*(1+'Допущения'!$E$62)^(AI6-'Допущения'!$E$9)),0)</f>
        <v/>
      </c>
      <c r="AJ13" s="14">
        <f>IF(AJ9=1,MIN('Допущения'!$E$63,'Допущения'!$E$61*(1+'Допущения'!$E$62)^(AJ6-'Допущения'!$E$9)),0)</f>
        <v/>
      </c>
      <c r="AK13" s="14">
        <f>IF(AK9=1,MIN('Допущения'!$E$63,'Допущения'!$E$61*(1+'Допущения'!$E$62)^(AK6-'Допущения'!$E$9)),0)</f>
        <v/>
      </c>
      <c r="AL13" s="14">
        <f>IF(AL9=1,MIN('Допущения'!$E$63,'Допущения'!$E$61*(1+'Допущения'!$E$62)^(AL6-'Допущения'!$E$9)),0)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(C12+C13)*'Допущения'!$E$64</f>
        <v/>
      </c>
      <c r="D14" s="14">
        <f>(D12+D13)*'Допущения'!$E$64</f>
        <v/>
      </c>
      <c r="E14" s="14">
        <f>(E12+E13)*'Допущения'!$E$64</f>
        <v/>
      </c>
      <c r="F14" s="14">
        <f>(F12+F13)*'Допущения'!$E$64</f>
        <v/>
      </c>
      <c r="G14" s="14">
        <f>(G12+G13)*'Допущения'!$E$64</f>
        <v/>
      </c>
      <c r="H14" s="14">
        <f>(H12+H13)*'Допущения'!$E$64</f>
        <v/>
      </c>
      <c r="I14" s="14">
        <f>(I12+I13)*'Допущения'!$E$64</f>
        <v/>
      </c>
      <c r="J14" s="14">
        <f>(J12+J13)*'Допущения'!$E$64</f>
        <v/>
      </c>
      <c r="K14" s="14">
        <f>(K12+K13)*'Допущения'!$E$64</f>
        <v/>
      </c>
      <c r="L14" s="14">
        <f>(L12+L13)*'Допущения'!$E$64</f>
        <v/>
      </c>
      <c r="M14" s="14">
        <f>(M12+M13)*'Допущения'!$E$64</f>
        <v/>
      </c>
      <c r="N14" s="14">
        <f>(N12+N13)*'Допущения'!$E$64</f>
        <v/>
      </c>
      <c r="O14" s="14">
        <f>(O12+O13)*'Допущения'!$E$64</f>
        <v/>
      </c>
      <c r="P14" s="14">
        <f>(P12+P13)*'Допущения'!$E$64</f>
        <v/>
      </c>
      <c r="Q14" s="14">
        <f>(Q12+Q13)*'Допущения'!$E$64</f>
        <v/>
      </c>
      <c r="R14" s="14">
        <f>(R12+R13)*'Допущения'!$E$64</f>
        <v/>
      </c>
      <c r="S14" s="14">
        <f>(S12+S13)*'Допущения'!$E$64</f>
        <v/>
      </c>
      <c r="T14" s="14">
        <f>(T12+T13)*'Допущения'!$E$64</f>
        <v/>
      </c>
      <c r="U14" s="14">
        <f>(U12+U13)*'Допущения'!$E$64</f>
        <v/>
      </c>
      <c r="V14" s="14">
        <f>(V12+V13)*'Допущения'!$E$64</f>
        <v/>
      </c>
      <c r="W14" s="14">
        <f>(W12+W13)*'Допущения'!$E$64</f>
        <v/>
      </c>
      <c r="X14" s="14">
        <f>(X12+X13)*'Допущения'!$E$64</f>
        <v/>
      </c>
      <c r="Y14" s="14">
        <f>(Y12+Y13)*'Допущения'!$E$64</f>
        <v/>
      </c>
      <c r="Z14" s="14">
        <f>(Z12+Z13)*'Допущения'!$E$64</f>
        <v/>
      </c>
      <c r="AA14" s="14">
        <f>(AA12+AA13)*'Допущения'!$E$64</f>
        <v/>
      </c>
      <c r="AB14" s="14">
        <f>(AB12+AB13)*'Допущения'!$E$64</f>
        <v/>
      </c>
      <c r="AC14" s="14">
        <f>(AC12+AC13)*'Допущения'!$E$64</f>
        <v/>
      </c>
      <c r="AD14" s="14">
        <f>(AD12+AD13)*'Допущения'!$E$64</f>
        <v/>
      </c>
      <c r="AE14" s="14">
        <f>(AE12+AE13)*'Допущения'!$E$64</f>
        <v/>
      </c>
      <c r="AF14" s="14">
        <f>(AF12+AF13)*'Допущения'!$E$64</f>
        <v/>
      </c>
      <c r="AG14" s="14">
        <f>(AG12+AG13)*'Допущения'!$E$64</f>
        <v/>
      </c>
      <c r="AH14" s="14">
        <f>(AH12+AH13)*'Допущения'!$E$64</f>
        <v/>
      </c>
      <c r="AI14" s="14">
        <f>(AI12+AI13)*'Допущения'!$E$64</f>
        <v/>
      </c>
      <c r="AJ14" s="14">
        <f>(AJ12+AJ13)*'Допущения'!$E$64</f>
        <v/>
      </c>
      <c r="AK14" s="14">
        <f>(AK12+AK13)*'Допущения'!$E$64</f>
        <v/>
      </c>
      <c r="AL14" s="14">
        <f>(AL12+AL13)*'Допущения'!$E$64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C15*'Допущения'!$E$65+IF(C6='Допущения'!$E$9,0*'Допущения'!$E$78,0)</f>
        <v/>
      </c>
      <c r="D16" s="14">
        <f>D15*'Допущения'!$E$65+IF(D6='Допущения'!$E$9,C17*'Допущения'!$E$78,0)</f>
        <v/>
      </c>
      <c r="E16" s="14">
        <f>E15*'Допущения'!$E$65+IF(E6='Допущения'!$E$9,D17*'Допущения'!$E$78,0)</f>
        <v/>
      </c>
      <c r="F16" s="14">
        <f>F15*'Допущения'!$E$65+IF(F6='Допущения'!$E$9,E17*'Допущения'!$E$78,0)</f>
        <v/>
      </c>
      <c r="G16" s="14">
        <f>G15*'Допущения'!$E$65+IF(G6='Допущения'!$E$9,F17*'Допущения'!$E$78,0)</f>
        <v/>
      </c>
      <c r="H16" s="14">
        <f>H15*'Допущения'!$E$65+IF(H6='Допущения'!$E$9,G17*'Допущения'!$E$78,0)</f>
        <v/>
      </c>
      <c r="I16" s="14">
        <f>I15*'Допущения'!$E$65+IF(I6='Допущения'!$E$9,H17*'Допущения'!$E$78,0)</f>
        <v/>
      </c>
      <c r="J16" s="14">
        <f>J15*'Допущения'!$E$65+IF(J6='Допущения'!$E$9,I17*'Допущения'!$E$78,0)</f>
        <v/>
      </c>
      <c r="K16" s="14">
        <f>K15*'Допущения'!$E$65+IF(K6='Допущения'!$E$9,J17*'Допущения'!$E$78,0)</f>
        <v/>
      </c>
      <c r="L16" s="14">
        <f>L15*'Допущения'!$E$65+IF(L6='Допущения'!$E$9,K17*'Допущения'!$E$78,0)</f>
        <v/>
      </c>
      <c r="M16" s="14">
        <f>M15*'Допущения'!$E$65+IF(M6='Допущения'!$E$9,L17*'Допущения'!$E$78,0)</f>
        <v/>
      </c>
      <c r="N16" s="14">
        <f>N15*'Допущения'!$E$65+IF(N6='Допущения'!$E$9,M17*'Допущения'!$E$78,0)</f>
        <v/>
      </c>
      <c r="O16" s="14">
        <f>O15*'Допущения'!$E$65+IF(O6='Допущения'!$E$9,N17*'Допущения'!$E$78,0)</f>
        <v/>
      </c>
      <c r="P16" s="14">
        <f>P15*'Допущения'!$E$65+IF(P6='Допущения'!$E$9,O17*'Допущения'!$E$78,0)</f>
        <v/>
      </c>
      <c r="Q16" s="14">
        <f>Q15*'Допущения'!$E$65+IF(Q6='Допущения'!$E$9,P17*'Допущения'!$E$78,0)</f>
        <v/>
      </c>
      <c r="R16" s="14">
        <f>R15*'Допущения'!$E$65+IF(R6='Допущения'!$E$9,Q17*'Допущения'!$E$78,0)</f>
        <v/>
      </c>
      <c r="S16" s="14">
        <f>S15*'Допущения'!$E$65+IF(S6='Допущения'!$E$9,R17*'Допущения'!$E$78,0)</f>
        <v/>
      </c>
      <c r="T16" s="14">
        <f>T15*'Допущения'!$E$65+IF(T6='Допущения'!$E$9,S17*'Допущения'!$E$78,0)</f>
        <v/>
      </c>
      <c r="U16" s="14">
        <f>U15*'Допущения'!$E$65+IF(U6='Допущения'!$E$9,T17*'Допущения'!$E$78,0)</f>
        <v/>
      </c>
      <c r="V16" s="14">
        <f>V15*'Допущения'!$E$65+IF(V6='Допущения'!$E$9,U17*'Допущения'!$E$78,0)</f>
        <v/>
      </c>
      <c r="W16" s="14">
        <f>W15*'Допущения'!$E$65+IF(W6='Допущения'!$E$9,V17*'Допущения'!$E$78,0)</f>
        <v/>
      </c>
      <c r="X16" s="14">
        <f>X15*'Допущения'!$E$65+IF(X6='Допущения'!$E$9,W17*'Допущения'!$E$78,0)</f>
        <v/>
      </c>
      <c r="Y16" s="14">
        <f>Y15*'Допущения'!$E$65+IF(Y6='Допущения'!$E$9,X17*'Допущения'!$E$78,0)</f>
        <v/>
      </c>
      <c r="Z16" s="14">
        <f>Z15*'Допущения'!$E$65+IF(Z6='Допущения'!$E$9,Y17*'Допущения'!$E$78,0)</f>
        <v/>
      </c>
      <c r="AA16" s="14">
        <f>AA15*'Допущения'!$E$65+IF(AA6='Допущения'!$E$9,Z17*'Допущения'!$E$78,0)</f>
        <v/>
      </c>
      <c r="AB16" s="14">
        <f>AB15*'Допущения'!$E$65+IF(AB6='Допущения'!$E$9,AA17*'Допущения'!$E$78,0)</f>
        <v/>
      </c>
      <c r="AC16" s="14">
        <f>AC15*'Допущения'!$E$65+IF(AC6='Допущения'!$E$9,AB17*'Допущения'!$E$78,0)</f>
        <v/>
      </c>
      <c r="AD16" s="14">
        <f>AD15*'Допущения'!$E$65+IF(AD6='Допущения'!$E$9,AC17*'Допущения'!$E$78,0)</f>
        <v/>
      </c>
      <c r="AE16" s="14">
        <f>AE15*'Допущения'!$E$65+IF(AE6='Допущения'!$E$9,AD17*'Допущения'!$E$78,0)</f>
        <v/>
      </c>
      <c r="AF16" s="14">
        <f>AF15*'Допущения'!$E$65+IF(AF6='Допущения'!$E$9,AE17*'Допущения'!$E$78,0)</f>
        <v/>
      </c>
      <c r="AG16" s="14">
        <f>AG15*'Допущения'!$E$65+IF(AG6='Допущения'!$E$9,AF17*'Допущения'!$E$78,0)</f>
        <v/>
      </c>
      <c r="AH16" s="14">
        <f>AH15*'Допущения'!$E$65+IF(AH6='Допущения'!$E$9,AG17*'Допущения'!$E$78,0)</f>
        <v/>
      </c>
      <c r="AI16" s="14">
        <f>AI15*'Допущения'!$E$65+IF(AI6='Допущения'!$E$9,AH17*'Допущения'!$E$78,0)</f>
        <v/>
      </c>
      <c r="AJ16" s="14">
        <f>AJ15*'Допущения'!$E$65+IF(AJ6='Допущения'!$E$9,AI17*'Допущения'!$E$78,0)</f>
        <v/>
      </c>
      <c r="AK16" s="14">
        <f>AK15*'Допущения'!$E$65+IF(AK6='Допущения'!$E$9,AJ17*'Допущения'!$E$78,0)</f>
        <v/>
      </c>
      <c r="AL16" s="14">
        <f>AL15*'Допущения'!$E$65+IF(AL6='Допущения'!$E$9,AK17*'Допущения'!$E$78,0)</f>
        <v/>
      </c>
    </row>
    <row r="17">
      <c r="A17" s="6" t="inlineStr">
        <is>
          <t>Игроки прототипа (до выхода)</t>
        </is>
      </c>
      <c r="C17" s="14">
        <f>IF(C9=1,0,'Допущения'!$E$72*(1+'Допущения'!$E$73)^(C6-1))</f>
        <v/>
      </c>
      <c r="D17" s="14">
        <f>IF(D9=1,0,'Допущения'!$E$72*(1+'Допущения'!$E$73)^(D6-1))</f>
        <v/>
      </c>
      <c r="E17" s="14">
        <f>IF(E9=1,0,'Допущения'!$E$72*(1+'Допущения'!$E$73)^(E6-1))</f>
        <v/>
      </c>
      <c r="F17" s="14">
        <f>IF(F9=1,0,'Допущения'!$E$72*(1+'Допущения'!$E$73)^(F6-1))</f>
        <v/>
      </c>
      <c r="G17" s="14">
        <f>IF(G9=1,0,'Допущения'!$E$72*(1+'Допущения'!$E$73)^(G6-1))</f>
        <v/>
      </c>
      <c r="H17" s="14">
        <f>IF(H9=1,0,'Допущения'!$E$72*(1+'Допущения'!$E$73)^(H6-1))</f>
        <v/>
      </c>
      <c r="I17" s="14">
        <f>IF(I9=1,0,'Допущения'!$E$72*(1+'Допущения'!$E$73)^(I6-1))</f>
        <v/>
      </c>
      <c r="J17" s="14">
        <f>IF(J9=1,0,'Допущения'!$E$72*(1+'Допущения'!$E$73)^(J6-1))</f>
        <v/>
      </c>
      <c r="K17" s="14">
        <f>IF(K9=1,0,'Допущения'!$E$72*(1+'Допущения'!$E$73)^(K6-1))</f>
        <v/>
      </c>
      <c r="L17" s="14">
        <f>IF(L9=1,0,'Допущения'!$E$72*(1+'Допущения'!$E$73)^(L6-1))</f>
        <v/>
      </c>
      <c r="M17" s="14">
        <f>IF(M9=1,0,'Допущения'!$E$72*(1+'Допущения'!$E$73)^(M6-1))</f>
        <v/>
      </c>
      <c r="N17" s="14">
        <f>IF(N9=1,0,'Допущения'!$E$72*(1+'Допущения'!$E$73)^(N6-1))</f>
        <v/>
      </c>
      <c r="O17" s="14">
        <f>IF(O9=1,0,'Допущения'!$E$72*(1+'Допущения'!$E$73)^(O6-1))</f>
        <v/>
      </c>
      <c r="P17" s="14">
        <f>IF(P9=1,0,'Допущения'!$E$72*(1+'Допущения'!$E$73)^(P6-1))</f>
        <v/>
      </c>
      <c r="Q17" s="14">
        <f>IF(Q9=1,0,'Допущения'!$E$72*(1+'Допущения'!$E$73)^(Q6-1))</f>
        <v/>
      </c>
      <c r="R17" s="14">
        <f>IF(R9=1,0,'Допущения'!$E$72*(1+'Допущения'!$E$73)^(R6-1))</f>
        <v/>
      </c>
      <c r="S17" s="14">
        <f>IF(S9=1,0,'Допущения'!$E$72*(1+'Допущения'!$E$73)^(S6-1))</f>
        <v/>
      </c>
      <c r="T17" s="14">
        <f>IF(T9=1,0,'Допущения'!$E$72*(1+'Допущения'!$E$73)^(T6-1))</f>
        <v/>
      </c>
      <c r="U17" s="14">
        <f>IF(U9=1,0,'Допущения'!$E$72*(1+'Допущения'!$E$73)^(U6-1))</f>
        <v/>
      </c>
      <c r="V17" s="14">
        <f>IF(V9=1,0,'Допущения'!$E$72*(1+'Допущения'!$E$73)^(V6-1))</f>
        <v/>
      </c>
      <c r="W17" s="14">
        <f>IF(W9=1,0,'Допущения'!$E$72*(1+'Допущения'!$E$73)^(W6-1))</f>
        <v/>
      </c>
      <c r="X17" s="14">
        <f>IF(X9=1,0,'Допущения'!$E$72*(1+'Допущения'!$E$73)^(X6-1))</f>
        <v/>
      </c>
      <c r="Y17" s="14">
        <f>IF(Y9=1,0,'Допущения'!$E$72*(1+'Допущения'!$E$73)^(Y6-1))</f>
        <v/>
      </c>
      <c r="Z17" s="14">
        <f>IF(Z9=1,0,'Допущения'!$E$72*(1+'Допущения'!$E$73)^(Z6-1))</f>
        <v/>
      </c>
      <c r="AA17" s="14">
        <f>IF(AA9=1,0,'Допущения'!$E$72*(1+'Допущения'!$E$73)^(AA6-1))</f>
        <v/>
      </c>
      <c r="AB17" s="14">
        <f>IF(AB9=1,0,'Допущения'!$E$72*(1+'Допущения'!$E$73)^(AB6-1))</f>
        <v/>
      </c>
      <c r="AC17" s="14">
        <f>IF(AC9=1,0,'Допущения'!$E$72*(1+'Допущения'!$E$73)^(AC6-1))</f>
        <v/>
      </c>
      <c r="AD17" s="14">
        <f>IF(AD9=1,0,'Допущения'!$E$72*(1+'Допущения'!$E$73)^(AD6-1))</f>
        <v/>
      </c>
      <c r="AE17" s="14">
        <f>IF(AE9=1,0,'Допущения'!$E$72*(1+'Допущения'!$E$73)^(AE6-1))</f>
        <v/>
      </c>
      <c r="AF17" s="14">
        <f>IF(AF9=1,0,'Допущения'!$E$72*(1+'Допущения'!$E$73)^(AF6-1))</f>
        <v/>
      </c>
      <c r="AG17" s="14">
        <f>IF(AG9=1,0,'Допущения'!$E$72*(1+'Допущения'!$E$73)^(AG6-1))</f>
        <v/>
      </c>
      <c r="AH17" s="14">
        <f>IF(AH9=1,0,'Допущения'!$E$72*(1+'Допущения'!$E$73)^(AH6-1))</f>
        <v/>
      </c>
      <c r="AI17" s="14">
        <f>IF(AI9=1,0,'Допущения'!$E$72*(1+'Допущения'!$E$73)^(AI6-1))</f>
        <v/>
      </c>
      <c r="AJ17" s="14">
        <f>IF(AJ9=1,0,'Допущения'!$E$72*(1+'Допущения'!$E$73)^(AJ6-1))</f>
        <v/>
      </c>
      <c r="AK17" s="14">
        <f>IF(AK9=1,0,'Допущения'!$E$72*(1+'Допущения'!$E$73)^(AK6-1))</f>
        <v/>
      </c>
      <c r="AL17" s="14">
        <f>IF(AL9=1,0,'Допущения'!$E$72*(1+'Допущения'!$E$73)^(AL6-1))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IF(C9=1,0*(1-'Допущения'!$E$68)*'Допущения'!$E$66+C16*(1-'Допущения'!$E$67),0)</f>
        <v/>
      </c>
      <c r="D18" s="14">
        <f>IF(D9=1,C18*(1-'Допущения'!$E$68)*'Допущения'!$E$66+D16*(1-'Допущения'!$E$67),0)</f>
        <v/>
      </c>
      <c r="E18" s="14">
        <f>IF(E9=1,D18*(1-'Допущения'!$E$68)*'Допущения'!$E$66+E16*(1-'Допущения'!$E$67),0)</f>
        <v/>
      </c>
      <c r="F18" s="14">
        <f>IF(F9=1,E18*(1-'Допущения'!$E$68)*'Допущения'!$E$66+F16*(1-'Допущения'!$E$67),0)</f>
        <v/>
      </c>
      <c r="G18" s="14">
        <f>IF(G9=1,F18*(1-'Допущения'!$E$68)*'Допущения'!$E$66+G16*(1-'Допущения'!$E$67),0)</f>
        <v/>
      </c>
      <c r="H18" s="14">
        <f>IF(H9=1,G18*(1-'Допущения'!$E$68)*'Допущения'!$E$66+H16*(1-'Допущения'!$E$67),0)</f>
        <v/>
      </c>
      <c r="I18" s="14">
        <f>IF(I9=1,H18*(1-'Допущения'!$E$68)*'Допущения'!$E$66+I16*(1-'Допущения'!$E$67),0)</f>
        <v/>
      </c>
      <c r="J18" s="14">
        <f>IF(J9=1,I18*(1-'Допущения'!$E$68)*'Допущения'!$E$66+J16*(1-'Допущения'!$E$67),0)</f>
        <v/>
      </c>
      <c r="K18" s="14">
        <f>IF(K9=1,J18*(1-'Допущения'!$E$68)*'Допущения'!$E$66+K16*(1-'Допущения'!$E$67),0)</f>
        <v/>
      </c>
      <c r="L18" s="14">
        <f>IF(L9=1,K18*(1-'Допущения'!$E$68)*'Допущения'!$E$66+L16*(1-'Допущения'!$E$67),0)</f>
        <v/>
      </c>
      <c r="M18" s="14">
        <f>IF(M9=1,L18*(1-'Допущения'!$E$68)*'Допущения'!$E$66+M16*(1-'Допущения'!$E$67),0)</f>
        <v/>
      </c>
      <c r="N18" s="14">
        <f>IF(N9=1,M18*(1-'Допущения'!$E$68)*'Допущения'!$E$66+N16*(1-'Допущения'!$E$67),0)</f>
        <v/>
      </c>
      <c r="O18" s="14">
        <f>IF(O9=1,N18*(1-'Допущения'!$E$68)*'Допущения'!$E$66+O16*(1-'Допущения'!$E$67),0)</f>
        <v/>
      </c>
      <c r="P18" s="14">
        <f>IF(P9=1,O18*(1-'Допущения'!$E$68)*'Допущения'!$E$66+P16*(1-'Допущения'!$E$67),0)</f>
        <v/>
      </c>
      <c r="Q18" s="14">
        <f>IF(Q9=1,P18*(1-'Допущения'!$E$68)*'Допущения'!$E$66+Q16*(1-'Допущения'!$E$67),0)</f>
        <v/>
      </c>
      <c r="R18" s="14">
        <f>IF(R9=1,Q18*(1-'Допущения'!$E$68)*'Допущения'!$E$66+R16*(1-'Допущения'!$E$67),0)</f>
        <v/>
      </c>
      <c r="S18" s="14">
        <f>IF(S9=1,R18*(1-'Допущения'!$E$68)*'Допущения'!$E$66+S16*(1-'Допущения'!$E$67),0)</f>
        <v/>
      </c>
      <c r="T18" s="14">
        <f>IF(T9=1,S18*(1-'Допущения'!$E$68)*'Допущения'!$E$66+T16*(1-'Допущения'!$E$67),0)</f>
        <v/>
      </c>
      <c r="U18" s="14">
        <f>IF(U9=1,T18*(1-'Допущения'!$E$68)*'Допущения'!$E$66+U16*(1-'Допущения'!$E$67),0)</f>
        <v/>
      </c>
      <c r="V18" s="14">
        <f>IF(V9=1,U18*(1-'Допущения'!$E$68)*'Допущения'!$E$66+V16*(1-'Допущения'!$E$67),0)</f>
        <v/>
      </c>
      <c r="W18" s="14">
        <f>IF(W9=1,V18*(1-'Допущения'!$E$68)*'Допущения'!$E$66+W16*(1-'Допущения'!$E$67),0)</f>
        <v/>
      </c>
      <c r="X18" s="14">
        <f>IF(X9=1,W18*(1-'Допущения'!$E$68)*'Допущения'!$E$66+X16*(1-'Допущения'!$E$67),0)</f>
        <v/>
      </c>
      <c r="Y18" s="14">
        <f>IF(Y9=1,X18*(1-'Допущения'!$E$68)*'Допущения'!$E$66+Y16*(1-'Допущения'!$E$67),0)</f>
        <v/>
      </c>
      <c r="Z18" s="14">
        <f>IF(Z9=1,Y18*(1-'Допущения'!$E$68)*'Допущения'!$E$66+Z16*(1-'Допущения'!$E$67),0)</f>
        <v/>
      </c>
      <c r="AA18" s="14">
        <f>IF(AA9=1,Z18*(1-'Допущения'!$E$68)*'Допущения'!$E$66+AA16*(1-'Допущения'!$E$67),0)</f>
        <v/>
      </c>
      <c r="AB18" s="14">
        <f>IF(AB9=1,AA18*(1-'Допущения'!$E$68)*'Допущения'!$E$66+AB16*(1-'Допущения'!$E$67),0)</f>
        <v/>
      </c>
      <c r="AC18" s="14">
        <f>IF(AC9=1,AB18*(1-'Допущения'!$E$68)*'Допущения'!$E$66+AC16*(1-'Допущения'!$E$67),0)</f>
        <v/>
      </c>
      <c r="AD18" s="14">
        <f>IF(AD9=1,AC18*(1-'Допущения'!$E$68)*'Допущения'!$E$66+AD16*(1-'Допущения'!$E$67),0)</f>
        <v/>
      </c>
      <c r="AE18" s="14">
        <f>IF(AE9=1,AD18*(1-'Допущения'!$E$68)*'Допущения'!$E$66+AE16*(1-'Допущения'!$E$67),0)</f>
        <v/>
      </c>
      <c r="AF18" s="14">
        <f>IF(AF9=1,AE18*(1-'Допущения'!$E$68)*'Допущения'!$E$66+AF16*(1-'Допущения'!$E$67),0)</f>
        <v/>
      </c>
      <c r="AG18" s="14">
        <f>IF(AG9=1,AF18*(1-'Допущения'!$E$68)*'Допущения'!$E$66+AG16*(1-'Допущения'!$E$67),0)</f>
        <v/>
      </c>
      <c r="AH18" s="14">
        <f>IF(AH9=1,AG18*(1-'Допущения'!$E$68)*'Допущения'!$E$66+AH16*(1-'Допущения'!$E$67),0)</f>
        <v/>
      </c>
      <c r="AI18" s="14">
        <f>IF(AI9=1,AH18*(1-'Допущения'!$E$68)*'Допущения'!$E$66+AI16*(1-'Допущения'!$E$67),0)</f>
        <v/>
      </c>
      <c r="AJ18" s="14">
        <f>IF(AJ9=1,AI18*(1-'Допущения'!$E$68)*'Допущения'!$E$66+AJ16*(1-'Допущения'!$E$67),0)</f>
        <v/>
      </c>
      <c r="AK18" s="14">
        <f>IF(AK9=1,AJ18*(1-'Допущения'!$E$68)*'Допущения'!$E$66+AK16*(1-'Допущения'!$E$67),0)</f>
        <v/>
      </c>
      <c r="AL18" s="14">
        <f>IF(AL9=1,AK18*(1-'Допущения'!$E$68)*'Допущения'!$E$66+AL16*(1-'Допущения'!$E$67),0)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IF(C9=1,C16*'Допущения'!$E$67+0*'Допущения'!$E$68,0)</f>
        <v/>
      </c>
      <c r="D19" s="14">
        <f>IF(D9=1,D16*'Допущения'!$E$67+C18*'Допущения'!$E$68,0)</f>
        <v/>
      </c>
      <c r="E19" s="14">
        <f>IF(E9=1,E16*'Допущения'!$E$67+D18*'Допущения'!$E$68,0)</f>
        <v/>
      </c>
      <c r="F19" s="14">
        <f>IF(F9=1,F16*'Допущения'!$E$67+E18*'Допущения'!$E$68,0)</f>
        <v/>
      </c>
      <c r="G19" s="14">
        <f>IF(G9=1,G16*'Допущения'!$E$67+F18*'Допущения'!$E$68,0)</f>
        <v/>
      </c>
      <c r="H19" s="14">
        <f>IF(H9=1,H16*'Допущения'!$E$67+G18*'Допущения'!$E$68,0)</f>
        <v/>
      </c>
      <c r="I19" s="14">
        <f>IF(I9=1,I16*'Допущения'!$E$67+H18*'Допущения'!$E$68,0)</f>
        <v/>
      </c>
      <c r="J19" s="14">
        <f>IF(J9=1,J16*'Допущения'!$E$67+I18*'Допущения'!$E$68,0)</f>
        <v/>
      </c>
      <c r="K19" s="14">
        <f>IF(K9=1,K16*'Допущения'!$E$67+J18*'Допущения'!$E$68,0)</f>
        <v/>
      </c>
      <c r="L19" s="14">
        <f>IF(L9=1,L16*'Допущения'!$E$67+K18*'Допущения'!$E$68,0)</f>
        <v/>
      </c>
      <c r="M19" s="14">
        <f>IF(M9=1,M16*'Допущения'!$E$67+L18*'Допущения'!$E$68,0)</f>
        <v/>
      </c>
      <c r="N19" s="14">
        <f>IF(N9=1,N16*'Допущения'!$E$67+M18*'Допущения'!$E$68,0)</f>
        <v/>
      </c>
      <c r="O19" s="14">
        <f>IF(O9=1,O16*'Допущения'!$E$67+N18*'Допущения'!$E$68,0)</f>
        <v/>
      </c>
      <c r="P19" s="14">
        <f>IF(P9=1,P16*'Допущения'!$E$67+O18*'Допущения'!$E$68,0)</f>
        <v/>
      </c>
      <c r="Q19" s="14">
        <f>IF(Q9=1,Q16*'Допущения'!$E$67+P18*'Допущения'!$E$68,0)</f>
        <v/>
      </c>
      <c r="R19" s="14">
        <f>IF(R9=1,R16*'Допущения'!$E$67+Q18*'Допущения'!$E$68,0)</f>
        <v/>
      </c>
      <c r="S19" s="14">
        <f>IF(S9=1,S16*'Допущения'!$E$67+R18*'Допущения'!$E$68,0)</f>
        <v/>
      </c>
      <c r="T19" s="14">
        <f>IF(T9=1,T16*'Допущения'!$E$67+S18*'Допущения'!$E$68,0)</f>
        <v/>
      </c>
      <c r="U19" s="14">
        <f>IF(U9=1,U16*'Допущения'!$E$67+T18*'Допущения'!$E$68,0)</f>
        <v/>
      </c>
      <c r="V19" s="14">
        <f>IF(V9=1,V16*'Допущения'!$E$67+U18*'Допущения'!$E$68,0)</f>
        <v/>
      </c>
      <c r="W19" s="14">
        <f>IF(W9=1,W16*'Допущения'!$E$67+V18*'Допущения'!$E$68,0)</f>
        <v/>
      </c>
      <c r="X19" s="14">
        <f>IF(X9=1,X16*'Допущения'!$E$67+W18*'Допущения'!$E$68,0)</f>
        <v/>
      </c>
      <c r="Y19" s="14">
        <f>IF(Y9=1,Y16*'Допущения'!$E$67+X18*'Допущения'!$E$68,0)</f>
        <v/>
      </c>
      <c r="Z19" s="14">
        <f>IF(Z9=1,Z16*'Допущения'!$E$67+Y18*'Допущения'!$E$68,0)</f>
        <v/>
      </c>
      <c r="AA19" s="14">
        <f>IF(AA9=1,AA16*'Допущения'!$E$67+Z18*'Допущения'!$E$68,0)</f>
        <v/>
      </c>
      <c r="AB19" s="14">
        <f>IF(AB9=1,AB16*'Допущения'!$E$67+AA18*'Допущения'!$E$68,0)</f>
        <v/>
      </c>
      <c r="AC19" s="14">
        <f>IF(AC9=1,AC16*'Допущения'!$E$67+AB18*'Допущения'!$E$68,0)</f>
        <v/>
      </c>
      <c r="AD19" s="14">
        <f>IF(AD9=1,AD16*'Допущения'!$E$67+AC18*'Допущения'!$E$68,0)</f>
        <v/>
      </c>
      <c r="AE19" s="14">
        <f>IF(AE9=1,AE16*'Допущения'!$E$67+AD18*'Допущения'!$E$68,0)</f>
        <v/>
      </c>
      <c r="AF19" s="14">
        <f>IF(AF9=1,AF16*'Допущения'!$E$67+AE18*'Допущения'!$E$68,0)</f>
        <v/>
      </c>
      <c r="AG19" s="14">
        <f>IF(AG9=1,AG16*'Допущения'!$E$67+AF18*'Допущения'!$E$68,0)</f>
        <v/>
      </c>
      <c r="AH19" s="14">
        <f>IF(AH9=1,AH16*'Допущения'!$E$67+AG18*'Допущения'!$E$68,0)</f>
        <v/>
      </c>
      <c r="AI19" s="14">
        <f>IF(AI9=1,AI16*'Допущения'!$E$67+AH18*'Допущения'!$E$68,0)</f>
        <v/>
      </c>
      <c r="AJ19" s="14">
        <f>IF(AJ9=1,AJ16*'Допущения'!$E$67+AI18*'Допущения'!$E$68,0)</f>
        <v/>
      </c>
      <c r="AK19" s="14">
        <f>IF(AK9=1,AK16*'Допущения'!$E$67+AJ18*'Допущения'!$E$68,0)</f>
        <v/>
      </c>
      <c r="AL19" s="14">
        <f>IF(AL9=1,AL16*'Допущения'!$E$67+AK18*'Допущения'!$E$68,0)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0*'Допущения'!$E$69</f>
        <v/>
      </c>
      <c r="D20" s="14">
        <f>C21*'Допущения'!$E$69</f>
        <v/>
      </c>
      <c r="E20" s="14">
        <f>D21*'Допущения'!$E$69</f>
        <v/>
      </c>
      <c r="F20" s="14">
        <f>E21*'Допущения'!$E$69</f>
        <v/>
      </c>
      <c r="G20" s="14">
        <f>F21*'Допущения'!$E$69</f>
        <v/>
      </c>
      <c r="H20" s="14">
        <f>G21*'Допущения'!$E$69</f>
        <v/>
      </c>
      <c r="I20" s="14">
        <f>H21*'Допущения'!$E$69</f>
        <v/>
      </c>
      <c r="J20" s="14">
        <f>I21*'Допущения'!$E$69</f>
        <v/>
      </c>
      <c r="K20" s="14">
        <f>J21*'Допущения'!$E$69</f>
        <v/>
      </c>
      <c r="L20" s="14">
        <f>K21*'Допущения'!$E$69</f>
        <v/>
      </c>
      <c r="M20" s="14">
        <f>L21*'Допущения'!$E$69</f>
        <v/>
      </c>
      <c r="N20" s="14">
        <f>M21*'Допущения'!$E$69</f>
        <v/>
      </c>
      <c r="O20" s="14">
        <f>N21*'Допущения'!$E$69</f>
        <v/>
      </c>
      <c r="P20" s="14">
        <f>O21*'Допущения'!$E$69</f>
        <v/>
      </c>
      <c r="Q20" s="14">
        <f>P21*'Допущения'!$E$69</f>
        <v/>
      </c>
      <c r="R20" s="14">
        <f>Q21*'Допущения'!$E$69</f>
        <v/>
      </c>
      <c r="S20" s="14">
        <f>R21*'Допущения'!$E$69</f>
        <v/>
      </c>
      <c r="T20" s="14">
        <f>S21*'Допущения'!$E$69</f>
        <v/>
      </c>
      <c r="U20" s="14">
        <f>T21*'Допущения'!$E$69</f>
        <v/>
      </c>
      <c r="V20" s="14">
        <f>U21*'Допущения'!$E$69</f>
        <v/>
      </c>
      <c r="W20" s="14">
        <f>V21*'Допущения'!$E$69</f>
        <v/>
      </c>
      <c r="X20" s="14">
        <f>W21*'Допущения'!$E$69</f>
        <v/>
      </c>
      <c r="Y20" s="14">
        <f>X21*'Допущения'!$E$69</f>
        <v/>
      </c>
      <c r="Z20" s="14">
        <f>Y21*'Допущения'!$E$69</f>
        <v/>
      </c>
      <c r="AA20" s="14">
        <f>Z21*'Допущения'!$E$69</f>
        <v/>
      </c>
      <c r="AB20" s="14">
        <f>AA21*'Допущения'!$E$69</f>
        <v/>
      </c>
      <c r="AC20" s="14">
        <f>AB21*'Допущения'!$E$69</f>
        <v/>
      </c>
      <c r="AD20" s="14">
        <f>AC21*'Допущения'!$E$69</f>
        <v/>
      </c>
      <c r="AE20" s="14">
        <f>AD21*'Допущения'!$E$69</f>
        <v/>
      </c>
      <c r="AF20" s="14">
        <f>AE21*'Допущения'!$E$69</f>
        <v/>
      </c>
      <c r="AG20" s="14">
        <f>AF21*'Допущения'!$E$69</f>
        <v/>
      </c>
      <c r="AH20" s="14">
        <f>AG21*'Допущения'!$E$69</f>
        <v/>
      </c>
      <c r="AI20" s="14">
        <f>AH21*'Допущения'!$E$69</f>
        <v/>
      </c>
      <c r="AJ20" s="14">
        <f>AI21*'Допущения'!$E$69</f>
        <v/>
      </c>
      <c r="AK20" s="14">
        <f>AJ21*'Допущения'!$E$69</f>
        <v/>
      </c>
      <c r="AL20" s="14">
        <f>AK21*'Допущения'!$E$69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C21*'Себестоимость'!$E$12</f>
        <v/>
      </c>
      <c r="D24" s="21">
        <f>D21*'Себестоимость'!$E$12</f>
        <v/>
      </c>
      <c r="E24" s="21">
        <f>E21*'Себестоимость'!$E$12</f>
        <v/>
      </c>
      <c r="F24" s="21">
        <f>F21*'Себестоимость'!$E$12</f>
        <v/>
      </c>
      <c r="G24" s="21">
        <f>G21*'Себестоимость'!$E$12</f>
        <v/>
      </c>
      <c r="H24" s="21">
        <f>H21*'Себестоимость'!$E$12</f>
        <v/>
      </c>
      <c r="I24" s="21">
        <f>I21*'Себестоимость'!$E$12</f>
        <v/>
      </c>
      <c r="J24" s="21">
        <f>J21*'Себестоимость'!$E$12</f>
        <v/>
      </c>
      <c r="K24" s="21">
        <f>K21*'Себестоимость'!$E$12</f>
        <v/>
      </c>
      <c r="L24" s="21">
        <f>L21*'Себестоимость'!$E$12</f>
        <v/>
      </c>
      <c r="M24" s="21">
        <f>M21*'Себестоимость'!$E$12</f>
        <v/>
      </c>
      <c r="N24" s="21">
        <f>N21*'Себестоимость'!$E$12</f>
        <v/>
      </c>
      <c r="O24" s="21">
        <f>O21*'Себестоимость'!$E$12</f>
        <v/>
      </c>
      <c r="P24" s="21">
        <f>P21*'Себестоимость'!$E$12</f>
        <v/>
      </c>
      <c r="Q24" s="21">
        <f>Q21*'Себестоимость'!$E$12</f>
        <v/>
      </c>
      <c r="R24" s="21">
        <f>R21*'Себестоимость'!$E$12</f>
        <v/>
      </c>
      <c r="S24" s="21">
        <f>S21*'Себестоимость'!$E$12</f>
        <v/>
      </c>
      <c r="T24" s="21">
        <f>T21*'Себестоимость'!$E$12</f>
        <v/>
      </c>
      <c r="U24" s="21">
        <f>U21*'Себестоимость'!$E$12</f>
        <v/>
      </c>
      <c r="V24" s="21">
        <f>V21*'Себестоимость'!$E$12</f>
        <v/>
      </c>
      <c r="W24" s="21">
        <f>W21*'Себестоимость'!$E$12</f>
        <v/>
      </c>
      <c r="X24" s="21">
        <f>X21*'Себестоимость'!$E$12</f>
        <v/>
      </c>
      <c r="Y24" s="21">
        <f>Y21*'Себестоимость'!$E$12</f>
        <v/>
      </c>
      <c r="Z24" s="21">
        <f>Z21*'Себестоимость'!$E$12</f>
        <v/>
      </c>
      <c r="AA24" s="21">
        <f>AA21*'Себестоимость'!$E$12</f>
        <v/>
      </c>
      <c r="AB24" s="21">
        <f>AB21*'Себестоимость'!$E$12</f>
        <v/>
      </c>
      <c r="AC24" s="21">
        <f>AC21*'Себестоимость'!$E$12</f>
        <v/>
      </c>
      <c r="AD24" s="21">
        <f>AD21*'Себестоимость'!$E$12</f>
        <v/>
      </c>
      <c r="AE24" s="21">
        <f>AE21*'Себестоимость'!$E$12</f>
        <v/>
      </c>
      <c r="AF24" s="21">
        <f>AF21*'Себестоимость'!$E$12</f>
        <v/>
      </c>
      <c r="AG24" s="21">
        <f>AG21*'Себестоимость'!$E$12</f>
        <v/>
      </c>
      <c r="AH24" s="21">
        <f>AH21*'Себестоимость'!$E$12</f>
        <v/>
      </c>
      <c r="AI24" s="21">
        <f>AI21*'Себестоимость'!$E$12</f>
        <v/>
      </c>
      <c r="AJ24" s="21">
        <f>AJ21*'Себестоимость'!$E$12</f>
        <v/>
      </c>
      <c r="AK24" s="21">
        <f>AK21*'Себестоимость'!$E$12</f>
        <v/>
      </c>
      <c r="AL24" s="21">
        <f>AL21*'Себестоимость'!$E$12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C21*'Себестоимость'!$E$13</f>
        <v/>
      </c>
      <c r="D26" s="21">
        <f>D21*'Себестоимость'!$E$13</f>
        <v/>
      </c>
      <c r="E26" s="21">
        <f>E21*'Себестоимость'!$E$13</f>
        <v/>
      </c>
      <c r="F26" s="21">
        <f>F21*'Себестоимость'!$E$13</f>
        <v/>
      </c>
      <c r="G26" s="21">
        <f>G21*'Себестоимость'!$E$13</f>
        <v/>
      </c>
      <c r="H26" s="21">
        <f>H21*'Себестоимость'!$E$13</f>
        <v/>
      </c>
      <c r="I26" s="21">
        <f>I21*'Себестоимость'!$E$13</f>
        <v/>
      </c>
      <c r="J26" s="21">
        <f>J21*'Себестоимость'!$E$13</f>
        <v/>
      </c>
      <c r="K26" s="21">
        <f>K21*'Себестоимость'!$E$13</f>
        <v/>
      </c>
      <c r="L26" s="21">
        <f>L21*'Себестоимость'!$E$13</f>
        <v/>
      </c>
      <c r="M26" s="21">
        <f>M21*'Себестоимость'!$E$13</f>
        <v/>
      </c>
      <c r="N26" s="21">
        <f>N21*'Себестоимость'!$E$13</f>
        <v/>
      </c>
      <c r="O26" s="21">
        <f>O21*'Себестоимость'!$E$13</f>
        <v/>
      </c>
      <c r="P26" s="21">
        <f>P21*'Себестоимость'!$E$13</f>
        <v/>
      </c>
      <c r="Q26" s="21">
        <f>Q21*'Себестоимость'!$E$13</f>
        <v/>
      </c>
      <c r="R26" s="21">
        <f>R21*'Себестоимость'!$E$13</f>
        <v/>
      </c>
      <c r="S26" s="21">
        <f>S21*'Себестоимость'!$E$13</f>
        <v/>
      </c>
      <c r="T26" s="21">
        <f>T21*'Себестоимость'!$E$13</f>
        <v/>
      </c>
      <c r="U26" s="21">
        <f>U21*'Себестоимость'!$E$13</f>
        <v/>
      </c>
      <c r="V26" s="21">
        <f>V21*'Себестоимость'!$E$13</f>
        <v/>
      </c>
      <c r="W26" s="21">
        <f>W21*'Себестоимость'!$E$13</f>
        <v/>
      </c>
      <c r="X26" s="21">
        <f>X21*'Себестоимость'!$E$13</f>
        <v/>
      </c>
      <c r="Y26" s="21">
        <f>Y21*'Себестоимость'!$E$13</f>
        <v/>
      </c>
      <c r="Z26" s="21">
        <f>Z21*'Себестоимость'!$E$13</f>
        <v/>
      </c>
      <c r="AA26" s="21">
        <f>AA21*'Себестоимость'!$E$13</f>
        <v/>
      </c>
      <c r="AB26" s="21">
        <f>AB21*'Себестоимость'!$E$13</f>
        <v/>
      </c>
      <c r="AC26" s="21">
        <f>AC21*'Себестоимость'!$E$13</f>
        <v/>
      </c>
      <c r="AD26" s="21">
        <f>AD21*'Себестоимость'!$E$13</f>
        <v/>
      </c>
      <c r="AE26" s="21">
        <f>AE21*'Себестоимость'!$E$13</f>
        <v/>
      </c>
      <c r="AF26" s="21">
        <f>AF21*'Себестоимость'!$E$13</f>
        <v/>
      </c>
      <c r="AG26" s="21">
        <f>AG21*'Себестоимость'!$E$13</f>
        <v/>
      </c>
      <c r="AH26" s="21">
        <f>AH21*'Себестоимость'!$E$13</f>
        <v/>
      </c>
      <c r="AI26" s="21">
        <f>AI21*'Себестоимость'!$E$13</f>
        <v/>
      </c>
      <c r="AJ26" s="21">
        <f>AJ21*'Себестоимость'!$E$13</f>
        <v/>
      </c>
      <c r="AK26" s="21">
        <f>AK21*'Себестоимость'!$E$13</f>
        <v/>
      </c>
      <c r="AL26" s="21">
        <f>AL21*'Себестоимость'!$E$13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C17*'Допущения'!$E$75*'Допущения'!$E$76*(1-'Допущения'!$E$77)</f>
        <v/>
      </c>
      <c r="D27" s="21">
        <f>D17*'Допущения'!$E$75*'Допущения'!$E$76*(1-'Допущения'!$E$77)</f>
        <v/>
      </c>
      <c r="E27" s="21">
        <f>E17*'Допущения'!$E$75*'Допущения'!$E$76*(1-'Допущения'!$E$77)</f>
        <v/>
      </c>
      <c r="F27" s="21">
        <f>F17*'Допущения'!$E$75*'Допущения'!$E$76*(1-'Допущения'!$E$77)</f>
        <v/>
      </c>
      <c r="G27" s="21">
        <f>G17*'Допущения'!$E$75*'Допущения'!$E$76*(1-'Допущения'!$E$77)</f>
        <v/>
      </c>
      <c r="H27" s="21">
        <f>H17*'Допущения'!$E$75*'Допущения'!$E$76*(1-'Допущения'!$E$77)</f>
        <v/>
      </c>
      <c r="I27" s="21">
        <f>I17*'Допущения'!$E$75*'Допущения'!$E$76*(1-'Допущения'!$E$77)</f>
        <v/>
      </c>
      <c r="J27" s="21">
        <f>J17*'Допущения'!$E$75*'Допущения'!$E$76*(1-'Допущения'!$E$77)</f>
        <v/>
      </c>
      <c r="K27" s="21">
        <f>K17*'Допущения'!$E$75*'Допущения'!$E$76*(1-'Допущения'!$E$77)</f>
        <v/>
      </c>
      <c r="L27" s="21">
        <f>L17*'Допущения'!$E$75*'Допущения'!$E$76*(1-'Допущения'!$E$77)</f>
        <v/>
      </c>
      <c r="M27" s="21">
        <f>M17*'Допущения'!$E$75*'Допущения'!$E$76*(1-'Допущения'!$E$77)</f>
        <v/>
      </c>
      <c r="N27" s="21">
        <f>N17*'Допущения'!$E$75*'Допущения'!$E$76*(1-'Допущения'!$E$77)</f>
        <v/>
      </c>
      <c r="O27" s="21">
        <f>O17*'Допущения'!$E$75*'Допущения'!$E$76*(1-'Допущения'!$E$77)</f>
        <v/>
      </c>
      <c r="P27" s="21">
        <f>P17*'Допущения'!$E$75*'Допущения'!$E$76*(1-'Допущения'!$E$77)</f>
        <v/>
      </c>
      <c r="Q27" s="21">
        <f>Q17*'Допущения'!$E$75*'Допущения'!$E$76*(1-'Допущения'!$E$77)</f>
        <v/>
      </c>
      <c r="R27" s="21">
        <f>R17*'Допущения'!$E$75*'Допущения'!$E$76*(1-'Допущения'!$E$77)</f>
        <v/>
      </c>
      <c r="S27" s="21">
        <f>S17*'Допущения'!$E$75*'Допущения'!$E$76*(1-'Допущения'!$E$77)</f>
        <v/>
      </c>
      <c r="T27" s="21">
        <f>T17*'Допущения'!$E$75*'Допущения'!$E$76*(1-'Допущения'!$E$77)</f>
        <v/>
      </c>
      <c r="U27" s="21">
        <f>U17*'Допущения'!$E$75*'Допущения'!$E$76*(1-'Допущения'!$E$77)</f>
        <v/>
      </c>
      <c r="V27" s="21">
        <f>V17*'Допущения'!$E$75*'Допущения'!$E$76*(1-'Допущения'!$E$77)</f>
        <v/>
      </c>
      <c r="W27" s="21">
        <f>W17*'Допущения'!$E$75*'Допущения'!$E$76*(1-'Допущения'!$E$77)</f>
        <v/>
      </c>
      <c r="X27" s="21">
        <f>X17*'Допущения'!$E$75*'Допущения'!$E$76*(1-'Допущения'!$E$77)</f>
        <v/>
      </c>
      <c r="Y27" s="21">
        <f>Y17*'Допущения'!$E$75*'Допущения'!$E$76*(1-'Допущения'!$E$77)</f>
        <v/>
      </c>
      <c r="Z27" s="21">
        <f>Z17*'Допущения'!$E$75*'Допущения'!$E$76*(1-'Допущения'!$E$77)</f>
        <v/>
      </c>
      <c r="AA27" s="21">
        <f>AA17*'Допущения'!$E$75*'Допущения'!$E$76*(1-'Допущения'!$E$77)</f>
        <v/>
      </c>
      <c r="AB27" s="21">
        <f>AB17*'Допущения'!$E$75*'Допущения'!$E$76*(1-'Допущения'!$E$77)</f>
        <v/>
      </c>
      <c r="AC27" s="21">
        <f>AC17*'Допущения'!$E$75*'Допущения'!$E$76*(1-'Допущения'!$E$77)</f>
        <v/>
      </c>
      <c r="AD27" s="21">
        <f>AD17*'Допущения'!$E$75*'Допущения'!$E$76*(1-'Допущения'!$E$77)</f>
        <v/>
      </c>
      <c r="AE27" s="21">
        <f>AE17*'Допущения'!$E$75*'Допущения'!$E$76*(1-'Допущения'!$E$77)</f>
        <v/>
      </c>
      <c r="AF27" s="21">
        <f>AF17*'Допущения'!$E$75*'Допущения'!$E$76*(1-'Допущения'!$E$77)</f>
        <v/>
      </c>
      <c r="AG27" s="21">
        <f>AG17*'Допущения'!$E$75*'Допущения'!$E$76*(1-'Допущения'!$E$77)</f>
        <v/>
      </c>
      <c r="AH27" s="21">
        <f>AH17*'Допущения'!$E$75*'Допущения'!$E$76*(1-'Допущения'!$E$77)</f>
        <v/>
      </c>
      <c r="AI27" s="21">
        <f>AI17*'Допущения'!$E$75*'Допущения'!$E$76*(1-'Допущения'!$E$77)</f>
        <v/>
      </c>
      <c r="AJ27" s="21">
        <f>AJ17*'Допущения'!$E$75*'Допущения'!$E$76*(1-'Допущения'!$E$77)</f>
        <v/>
      </c>
      <c r="AK27" s="21">
        <f>AK17*'Допущения'!$E$75*'Допущения'!$E$76*(1-'Допущения'!$E$77)</f>
        <v/>
      </c>
      <c r="AL27" s="21">
        <f>AL17*'Допущения'!$E$75*'Допущения'!$E$76*(1-'Допущения'!$E$77)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C21*'Себестоимость'!$E$14</f>
        <v/>
      </c>
      <c r="D30" s="21">
        <f>D21*'Себестоимость'!$E$14</f>
        <v/>
      </c>
      <c r="E30" s="21">
        <f>E21*'Себестоимость'!$E$14</f>
        <v/>
      </c>
      <c r="F30" s="21">
        <f>F21*'Себестоимость'!$E$14</f>
        <v/>
      </c>
      <c r="G30" s="21">
        <f>G21*'Себестоимость'!$E$14</f>
        <v/>
      </c>
      <c r="H30" s="21">
        <f>H21*'Себестоимость'!$E$14</f>
        <v/>
      </c>
      <c r="I30" s="21">
        <f>I21*'Себестоимость'!$E$14</f>
        <v/>
      </c>
      <c r="J30" s="21">
        <f>J21*'Себестоимость'!$E$14</f>
        <v/>
      </c>
      <c r="K30" s="21">
        <f>K21*'Себестоимость'!$E$14</f>
        <v/>
      </c>
      <c r="L30" s="21">
        <f>L21*'Себестоимость'!$E$14</f>
        <v/>
      </c>
      <c r="M30" s="21">
        <f>M21*'Себестоимость'!$E$14</f>
        <v/>
      </c>
      <c r="N30" s="21">
        <f>N21*'Себестоимость'!$E$14</f>
        <v/>
      </c>
      <c r="O30" s="21">
        <f>O21*'Себестоимость'!$E$14</f>
        <v/>
      </c>
      <c r="P30" s="21">
        <f>P21*'Себестоимость'!$E$14</f>
        <v/>
      </c>
      <c r="Q30" s="21">
        <f>Q21*'Себестоимость'!$E$14</f>
        <v/>
      </c>
      <c r="R30" s="21">
        <f>R21*'Себестоимость'!$E$14</f>
        <v/>
      </c>
      <c r="S30" s="21">
        <f>S21*'Себестоимость'!$E$14</f>
        <v/>
      </c>
      <c r="T30" s="21">
        <f>T21*'Себестоимость'!$E$14</f>
        <v/>
      </c>
      <c r="U30" s="21">
        <f>U21*'Себестоимость'!$E$14</f>
        <v/>
      </c>
      <c r="V30" s="21">
        <f>V21*'Себестоимость'!$E$14</f>
        <v/>
      </c>
      <c r="W30" s="21">
        <f>W21*'Себестоимость'!$E$14</f>
        <v/>
      </c>
      <c r="X30" s="21">
        <f>X21*'Себестоимость'!$E$14</f>
        <v/>
      </c>
      <c r="Y30" s="21">
        <f>Y21*'Себестоимость'!$E$14</f>
        <v/>
      </c>
      <c r="Z30" s="21">
        <f>Z21*'Себестоимость'!$E$14</f>
        <v/>
      </c>
      <c r="AA30" s="21">
        <f>AA21*'Себестоимость'!$E$14</f>
        <v/>
      </c>
      <c r="AB30" s="21">
        <f>AB21*'Себестоимость'!$E$14</f>
        <v/>
      </c>
      <c r="AC30" s="21">
        <f>AC21*'Себестоимость'!$E$14</f>
        <v/>
      </c>
      <c r="AD30" s="21">
        <f>AD21*'Себестоимость'!$E$14</f>
        <v/>
      </c>
      <c r="AE30" s="21">
        <f>AE21*'Себестоимость'!$E$14</f>
        <v/>
      </c>
      <c r="AF30" s="21">
        <f>AF21*'Себестоимость'!$E$14</f>
        <v/>
      </c>
      <c r="AG30" s="21">
        <f>AG21*'Себестоимость'!$E$14</f>
        <v/>
      </c>
      <c r="AH30" s="21">
        <f>AH21*'Себестоимость'!$E$14</f>
        <v/>
      </c>
      <c r="AI30" s="21">
        <f>AI21*'Себестоимость'!$E$14</f>
        <v/>
      </c>
      <c r="AJ30" s="21">
        <f>AJ21*'Себестоимость'!$E$14</f>
        <v/>
      </c>
      <c r="AK30" s="21">
        <f>AK21*'Себестоимость'!$E$14</f>
        <v/>
      </c>
      <c r="AL30" s="21">
        <f>AL21*'Себестоимость'!$E$14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C18*'Себестоимость'!$E$16+C17*'Допущения'!$E$74*'Себестоимость'!$E$7</f>
        <v/>
      </c>
      <c r="D31" s="21">
        <f>D18*'Себестоимость'!$E$16+D17*'Допущения'!$E$74*'Себестоимость'!$E$7</f>
        <v/>
      </c>
      <c r="E31" s="21">
        <f>E18*'Себестоимость'!$E$16+E17*'Допущения'!$E$74*'Себестоимость'!$E$7</f>
        <v/>
      </c>
      <c r="F31" s="21">
        <f>F18*'Себестоимость'!$E$16+F17*'Допущения'!$E$74*'Себестоимость'!$E$7</f>
        <v/>
      </c>
      <c r="G31" s="21">
        <f>G18*'Себестоимость'!$E$16+G17*'Допущения'!$E$74*'Себестоимость'!$E$7</f>
        <v/>
      </c>
      <c r="H31" s="21">
        <f>H18*'Себестоимость'!$E$16+H17*'Допущения'!$E$74*'Себестоимость'!$E$7</f>
        <v/>
      </c>
      <c r="I31" s="21">
        <f>I18*'Себестоимость'!$E$16+I17*'Допущения'!$E$74*'Себестоимость'!$E$7</f>
        <v/>
      </c>
      <c r="J31" s="21">
        <f>J18*'Себестоимость'!$E$16+J17*'Допущения'!$E$74*'Себестоимость'!$E$7</f>
        <v/>
      </c>
      <c r="K31" s="21">
        <f>K18*'Себестоимость'!$E$16+K17*'Допущения'!$E$74*'Себестоимость'!$E$7</f>
        <v/>
      </c>
      <c r="L31" s="21">
        <f>L18*'Себестоимость'!$E$16+L17*'Допущения'!$E$74*'Себестоимость'!$E$7</f>
        <v/>
      </c>
      <c r="M31" s="21">
        <f>M18*'Себестоимость'!$E$16+M17*'Допущения'!$E$74*'Себестоимость'!$E$7</f>
        <v/>
      </c>
      <c r="N31" s="21">
        <f>N18*'Себестоимость'!$E$16+N17*'Допущения'!$E$74*'Себестоимость'!$E$7</f>
        <v/>
      </c>
      <c r="O31" s="21">
        <f>O18*'Себестоимость'!$E$16+O17*'Допущения'!$E$74*'Себестоимость'!$E$7</f>
        <v/>
      </c>
      <c r="P31" s="21">
        <f>P18*'Себестоимость'!$E$16+P17*'Допущения'!$E$74*'Себестоимость'!$E$7</f>
        <v/>
      </c>
      <c r="Q31" s="21">
        <f>Q18*'Себестоимость'!$E$16+Q17*'Допущения'!$E$74*'Себестоимость'!$E$7</f>
        <v/>
      </c>
      <c r="R31" s="21">
        <f>R18*'Себестоимость'!$E$16+R17*'Допущения'!$E$74*'Себестоимость'!$E$7</f>
        <v/>
      </c>
      <c r="S31" s="21">
        <f>S18*'Себестоимость'!$E$16+S17*'Допущения'!$E$74*'Себестоимость'!$E$7</f>
        <v/>
      </c>
      <c r="T31" s="21">
        <f>T18*'Себестоимость'!$E$16+T17*'Допущения'!$E$74*'Себестоимость'!$E$7</f>
        <v/>
      </c>
      <c r="U31" s="21">
        <f>U18*'Себестоимость'!$E$16+U17*'Допущения'!$E$74*'Себестоимость'!$E$7</f>
        <v/>
      </c>
      <c r="V31" s="21">
        <f>V18*'Себестоимость'!$E$16+V17*'Допущения'!$E$74*'Себестоимость'!$E$7</f>
        <v/>
      </c>
      <c r="W31" s="21">
        <f>W18*'Себестоимость'!$E$16+W17*'Допущения'!$E$74*'Себестоимость'!$E$7</f>
        <v/>
      </c>
      <c r="X31" s="21">
        <f>X18*'Себестоимость'!$E$16+X17*'Допущения'!$E$74*'Себестоимость'!$E$7</f>
        <v/>
      </c>
      <c r="Y31" s="21">
        <f>Y18*'Себестоимость'!$E$16+Y17*'Допущения'!$E$74*'Себестоимость'!$E$7</f>
        <v/>
      </c>
      <c r="Z31" s="21">
        <f>Z18*'Себестоимость'!$E$16+Z17*'Допущения'!$E$74*'Себестоимость'!$E$7</f>
        <v/>
      </c>
      <c r="AA31" s="21">
        <f>AA18*'Себестоимость'!$E$16+AA17*'Допущения'!$E$74*'Себестоимость'!$E$7</f>
        <v/>
      </c>
      <c r="AB31" s="21">
        <f>AB18*'Себестоимость'!$E$16+AB17*'Допущения'!$E$74*'Себестоимость'!$E$7</f>
        <v/>
      </c>
      <c r="AC31" s="21">
        <f>AC18*'Себестоимость'!$E$16+AC17*'Допущения'!$E$74*'Себестоимость'!$E$7</f>
        <v/>
      </c>
      <c r="AD31" s="21">
        <f>AD18*'Себестоимость'!$E$16+AD17*'Допущения'!$E$74*'Себестоимость'!$E$7</f>
        <v/>
      </c>
      <c r="AE31" s="21">
        <f>AE18*'Себестоимость'!$E$16+AE17*'Допущения'!$E$74*'Себестоимость'!$E$7</f>
        <v/>
      </c>
      <c r="AF31" s="21">
        <f>AF18*'Себестоимость'!$E$16+AF17*'Допущения'!$E$74*'Себестоимость'!$E$7</f>
        <v/>
      </c>
      <c r="AG31" s="21">
        <f>AG18*'Себестоимость'!$E$16+AG17*'Допущения'!$E$74*'Себестоимость'!$E$7</f>
        <v/>
      </c>
      <c r="AH31" s="21">
        <f>AH18*'Себестоимость'!$E$16+AH17*'Допущения'!$E$74*'Себестоимость'!$E$7</f>
        <v/>
      </c>
      <c r="AI31" s="21">
        <f>AI18*'Себестоимость'!$E$16+AI17*'Допущения'!$E$74*'Себестоимость'!$E$7</f>
        <v/>
      </c>
      <c r="AJ31" s="21">
        <f>AJ18*'Себестоимость'!$E$16+AJ17*'Допущения'!$E$74*'Себестоимость'!$E$7</f>
        <v/>
      </c>
      <c r="AK31" s="21">
        <f>AK18*'Себестоимость'!$E$16+AK17*'Допущения'!$E$74*'Себестоимость'!$E$7</f>
        <v/>
      </c>
      <c r="AL31" s="21">
        <f>AL18*'Себестоимость'!$E$16+AL17*'Допущения'!$E$74*'Себестоимость'!$E$7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C19*'Допущения'!$E$44*'Допущения'!$E$93</f>
        <v/>
      </c>
      <c r="D32" s="21">
        <f>D19*'Допущения'!$E$44*'Допущения'!$E$93</f>
        <v/>
      </c>
      <c r="E32" s="21">
        <f>E19*'Допущения'!$E$44*'Допущения'!$E$93</f>
        <v/>
      </c>
      <c r="F32" s="21">
        <f>F19*'Допущения'!$E$44*'Допущения'!$E$93</f>
        <v/>
      </c>
      <c r="G32" s="21">
        <f>G19*'Допущения'!$E$44*'Допущения'!$E$93</f>
        <v/>
      </c>
      <c r="H32" s="21">
        <f>H19*'Допущения'!$E$44*'Допущения'!$E$93</f>
        <v/>
      </c>
      <c r="I32" s="21">
        <f>I19*'Допущения'!$E$44*'Допущения'!$E$93</f>
        <v/>
      </c>
      <c r="J32" s="21">
        <f>J19*'Допущения'!$E$44*'Допущения'!$E$93</f>
        <v/>
      </c>
      <c r="K32" s="21">
        <f>K19*'Допущения'!$E$44*'Допущения'!$E$93</f>
        <v/>
      </c>
      <c r="L32" s="21">
        <f>L19*'Допущения'!$E$44*'Допущения'!$E$93</f>
        <v/>
      </c>
      <c r="M32" s="21">
        <f>M19*'Допущения'!$E$44*'Допущения'!$E$93</f>
        <v/>
      </c>
      <c r="N32" s="21">
        <f>N19*'Допущения'!$E$44*'Допущения'!$E$93</f>
        <v/>
      </c>
      <c r="O32" s="21">
        <f>O19*'Допущения'!$E$44*'Допущения'!$E$93</f>
        <v/>
      </c>
      <c r="P32" s="21">
        <f>P19*'Допущения'!$E$44*'Допущения'!$E$93</f>
        <v/>
      </c>
      <c r="Q32" s="21">
        <f>Q19*'Допущения'!$E$44*'Допущения'!$E$93</f>
        <v/>
      </c>
      <c r="R32" s="21">
        <f>R19*'Допущения'!$E$44*'Допущения'!$E$93</f>
        <v/>
      </c>
      <c r="S32" s="21">
        <f>S19*'Допущения'!$E$44*'Допущения'!$E$93</f>
        <v/>
      </c>
      <c r="T32" s="21">
        <f>T19*'Допущения'!$E$44*'Допущения'!$E$93</f>
        <v/>
      </c>
      <c r="U32" s="21">
        <f>U19*'Допущения'!$E$44*'Допущения'!$E$93</f>
        <v/>
      </c>
      <c r="V32" s="21">
        <f>V19*'Допущения'!$E$44*'Допущения'!$E$93</f>
        <v/>
      </c>
      <c r="W32" s="21">
        <f>W19*'Допущения'!$E$44*'Допущения'!$E$93</f>
        <v/>
      </c>
      <c r="X32" s="21">
        <f>X19*'Допущения'!$E$44*'Допущения'!$E$93</f>
        <v/>
      </c>
      <c r="Y32" s="21">
        <f>Y19*'Допущения'!$E$44*'Допущения'!$E$93</f>
        <v/>
      </c>
      <c r="Z32" s="21">
        <f>Z19*'Допущения'!$E$44*'Допущения'!$E$93</f>
        <v/>
      </c>
      <c r="AA32" s="21">
        <f>AA19*'Допущения'!$E$44*'Допущения'!$E$93</f>
        <v/>
      </c>
      <c r="AB32" s="21">
        <f>AB19*'Допущения'!$E$44*'Допущения'!$E$93</f>
        <v/>
      </c>
      <c r="AC32" s="21">
        <f>AC19*'Допущения'!$E$44*'Допущения'!$E$93</f>
        <v/>
      </c>
      <c r="AD32" s="21">
        <f>AD19*'Допущения'!$E$44*'Допущения'!$E$93</f>
        <v/>
      </c>
      <c r="AE32" s="21">
        <f>AE19*'Допущения'!$E$44*'Допущения'!$E$93</f>
        <v/>
      </c>
      <c r="AF32" s="21">
        <f>AF19*'Допущения'!$E$44*'Допущения'!$E$93</f>
        <v/>
      </c>
      <c r="AG32" s="21">
        <f>AG19*'Допущения'!$E$44*'Допущения'!$E$93</f>
        <v/>
      </c>
      <c r="AH32" s="21">
        <f>AH19*'Допущения'!$E$44*'Допущения'!$E$93</f>
        <v/>
      </c>
      <c r="AI32" s="21">
        <f>AI19*'Допущения'!$E$44*'Допущения'!$E$93</f>
        <v/>
      </c>
      <c r="AJ32" s="21">
        <f>AJ19*'Допущения'!$E$44*'Допущения'!$E$93</f>
        <v/>
      </c>
      <c r="AK32" s="21">
        <f>AK19*'Допущения'!$E$44*'Допущения'!$E$93</f>
        <v/>
      </c>
      <c r="AL32" s="21">
        <f>AL19*'Допущения'!$E$44*'Допущения'!$E$93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C22*'Допущения'!$E$86</f>
        <v/>
      </c>
      <c r="D33" s="21">
        <f>D22*'Допущения'!$E$86</f>
        <v/>
      </c>
      <c r="E33" s="21">
        <f>E22*'Допущения'!$E$86</f>
        <v/>
      </c>
      <c r="F33" s="21">
        <f>F22*'Допущения'!$E$86</f>
        <v/>
      </c>
      <c r="G33" s="21">
        <f>G22*'Допущения'!$E$86</f>
        <v/>
      </c>
      <c r="H33" s="21">
        <f>H22*'Допущения'!$E$86</f>
        <v/>
      </c>
      <c r="I33" s="21">
        <f>I22*'Допущения'!$E$86</f>
        <v/>
      </c>
      <c r="J33" s="21">
        <f>J22*'Допущения'!$E$86</f>
        <v/>
      </c>
      <c r="K33" s="21">
        <f>K22*'Допущения'!$E$86</f>
        <v/>
      </c>
      <c r="L33" s="21">
        <f>L22*'Допущения'!$E$86</f>
        <v/>
      </c>
      <c r="M33" s="21">
        <f>M22*'Допущения'!$E$86</f>
        <v/>
      </c>
      <c r="N33" s="21">
        <f>N22*'Допущения'!$E$86</f>
        <v/>
      </c>
      <c r="O33" s="21">
        <f>O22*'Допущения'!$E$86</f>
        <v/>
      </c>
      <c r="P33" s="21">
        <f>P22*'Допущения'!$E$86</f>
        <v/>
      </c>
      <c r="Q33" s="21">
        <f>Q22*'Допущения'!$E$86</f>
        <v/>
      </c>
      <c r="R33" s="21">
        <f>R22*'Допущения'!$E$86</f>
        <v/>
      </c>
      <c r="S33" s="21">
        <f>S22*'Допущения'!$E$86</f>
        <v/>
      </c>
      <c r="T33" s="21">
        <f>T22*'Допущения'!$E$86</f>
        <v/>
      </c>
      <c r="U33" s="21">
        <f>U22*'Допущения'!$E$86</f>
        <v/>
      </c>
      <c r="V33" s="21">
        <f>V22*'Допущения'!$E$86</f>
        <v/>
      </c>
      <c r="W33" s="21">
        <f>W22*'Допущения'!$E$86</f>
        <v/>
      </c>
      <c r="X33" s="21">
        <f>X22*'Допущения'!$E$86</f>
        <v/>
      </c>
      <c r="Y33" s="21">
        <f>Y22*'Допущения'!$E$86</f>
        <v/>
      </c>
      <c r="Z33" s="21">
        <f>Z22*'Допущения'!$E$86</f>
        <v/>
      </c>
      <c r="AA33" s="21">
        <f>AA22*'Допущения'!$E$86</f>
        <v/>
      </c>
      <c r="AB33" s="21">
        <f>AB22*'Допущения'!$E$86</f>
        <v/>
      </c>
      <c r="AC33" s="21">
        <f>AC22*'Допущения'!$E$86</f>
        <v/>
      </c>
      <c r="AD33" s="21">
        <f>AD22*'Допущения'!$E$86</f>
        <v/>
      </c>
      <c r="AE33" s="21">
        <f>AE22*'Допущения'!$E$86</f>
        <v/>
      </c>
      <c r="AF33" s="21">
        <f>AF22*'Допущения'!$E$86</f>
        <v/>
      </c>
      <c r="AG33" s="21">
        <f>AG22*'Допущения'!$E$86</f>
        <v/>
      </c>
      <c r="AH33" s="21">
        <f>AH22*'Допущения'!$E$86</f>
        <v/>
      </c>
      <c r="AI33" s="21">
        <f>AI22*'Допущения'!$E$86</f>
        <v/>
      </c>
      <c r="AJ33" s="21">
        <f>AJ22*'Допущения'!$E$86</f>
        <v/>
      </c>
      <c r="AK33" s="21">
        <f>AK22*'Допущения'!$E$86</f>
        <v/>
      </c>
      <c r="AL33" s="21">
        <f>AL22*'Допущения'!$E$86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'Допущения'!$E$85</f>
        <v/>
      </c>
      <c r="D38" s="21">
        <f>'Допущения'!$E$85</f>
        <v/>
      </c>
      <c r="E38" s="21">
        <f>'Допущения'!$E$85</f>
        <v/>
      </c>
      <c r="F38" s="21">
        <f>'Допущения'!$E$85</f>
        <v/>
      </c>
      <c r="G38" s="21">
        <f>'Допущения'!$E$85</f>
        <v/>
      </c>
      <c r="H38" s="21">
        <f>'Допущения'!$E$85</f>
        <v/>
      </c>
      <c r="I38" s="21">
        <f>'Допущения'!$E$85</f>
        <v/>
      </c>
      <c r="J38" s="21">
        <f>'Допущения'!$E$85</f>
        <v/>
      </c>
      <c r="K38" s="21">
        <f>'Допущения'!$E$85</f>
        <v/>
      </c>
      <c r="L38" s="21">
        <f>'Допущения'!$E$85</f>
        <v/>
      </c>
      <c r="M38" s="21">
        <f>'Допущения'!$E$85</f>
        <v/>
      </c>
      <c r="N38" s="21">
        <f>'Допущения'!$E$85</f>
        <v/>
      </c>
      <c r="O38" s="21">
        <f>'Допущения'!$E$85</f>
        <v/>
      </c>
      <c r="P38" s="21">
        <f>'Допущения'!$E$85</f>
        <v/>
      </c>
      <c r="Q38" s="21">
        <f>'Допущения'!$E$85</f>
        <v/>
      </c>
      <c r="R38" s="21">
        <f>'Допущения'!$E$85</f>
        <v/>
      </c>
      <c r="S38" s="21">
        <f>'Допущения'!$E$85</f>
        <v/>
      </c>
      <c r="T38" s="21">
        <f>'Допущения'!$E$85</f>
        <v/>
      </c>
      <c r="U38" s="21">
        <f>'Допущения'!$E$85</f>
        <v/>
      </c>
      <c r="V38" s="21">
        <f>'Допущения'!$E$85</f>
        <v/>
      </c>
      <c r="W38" s="21">
        <f>'Допущения'!$E$85</f>
        <v/>
      </c>
      <c r="X38" s="21">
        <f>'Допущения'!$E$85</f>
        <v/>
      </c>
      <c r="Y38" s="21">
        <f>'Допущения'!$E$85</f>
        <v/>
      </c>
      <c r="Z38" s="21">
        <f>'Допущения'!$E$85</f>
        <v/>
      </c>
      <c r="AA38" s="21">
        <f>'Допущения'!$E$85</f>
        <v/>
      </c>
      <c r="AB38" s="21">
        <f>'Допущения'!$E$85</f>
        <v/>
      </c>
      <c r="AC38" s="21">
        <f>'Допущения'!$E$85</f>
        <v/>
      </c>
      <c r="AD38" s="21">
        <f>'Допущения'!$E$85</f>
        <v/>
      </c>
      <c r="AE38" s="21">
        <f>'Допущения'!$E$85</f>
        <v/>
      </c>
      <c r="AF38" s="21">
        <f>'Допущения'!$E$85</f>
        <v/>
      </c>
      <c r="AG38" s="21">
        <f>'Допущения'!$E$85</f>
        <v/>
      </c>
      <c r="AH38" s="21">
        <f>'Допущения'!$E$85</f>
        <v/>
      </c>
      <c r="AI38" s="21">
        <f>'Допущения'!$E$85</f>
        <v/>
      </c>
      <c r="AJ38" s="21">
        <f>'Допущения'!$E$85</f>
        <v/>
      </c>
      <c r="AK38" s="21">
        <f>'Допущения'!$E$85</f>
        <v/>
      </c>
      <c r="AL38" s="21">
        <f>'Допущения'!$E$85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'Допущения'!$E$87</f>
        <v/>
      </c>
      <c r="D39" s="21">
        <f>'Допущения'!$E$87</f>
        <v/>
      </c>
      <c r="E39" s="21">
        <f>'Допущения'!$E$87</f>
        <v/>
      </c>
      <c r="F39" s="21">
        <f>'Допущения'!$E$87</f>
        <v/>
      </c>
      <c r="G39" s="21">
        <f>'Допущения'!$E$87</f>
        <v/>
      </c>
      <c r="H39" s="21">
        <f>'Допущения'!$E$87</f>
        <v/>
      </c>
      <c r="I39" s="21">
        <f>'Допущения'!$E$87</f>
        <v/>
      </c>
      <c r="J39" s="21">
        <f>'Допущения'!$E$87</f>
        <v/>
      </c>
      <c r="K39" s="21">
        <f>'Допущения'!$E$87</f>
        <v/>
      </c>
      <c r="L39" s="21">
        <f>'Допущения'!$E$87</f>
        <v/>
      </c>
      <c r="M39" s="21">
        <f>'Допущения'!$E$87</f>
        <v/>
      </c>
      <c r="N39" s="21">
        <f>'Допущения'!$E$87</f>
        <v/>
      </c>
      <c r="O39" s="21">
        <f>'Допущения'!$E$87</f>
        <v/>
      </c>
      <c r="P39" s="21">
        <f>'Допущения'!$E$87</f>
        <v/>
      </c>
      <c r="Q39" s="21">
        <f>'Допущения'!$E$87</f>
        <v/>
      </c>
      <c r="R39" s="21">
        <f>'Допущения'!$E$87</f>
        <v/>
      </c>
      <c r="S39" s="21">
        <f>'Допущения'!$E$87</f>
        <v/>
      </c>
      <c r="T39" s="21">
        <f>'Допущения'!$E$87</f>
        <v/>
      </c>
      <c r="U39" s="21">
        <f>'Допущения'!$E$87</f>
        <v/>
      </c>
      <c r="V39" s="21">
        <f>'Допущения'!$E$87</f>
        <v/>
      </c>
      <c r="W39" s="21">
        <f>'Допущения'!$E$87</f>
        <v/>
      </c>
      <c r="X39" s="21">
        <f>'Допущения'!$E$87</f>
        <v/>
      </c>
      <c r="Y39" s="21">
        <f>'Допущения'!$E$87</f>
        <v/>
      </c>
      <c r="Z39" s="21">
        <f>'Допущения'!$E$87</f>
        <v/>
      </c>
      <c r="AA39" s="21">
        <f>'Допущения'!$E$87</f>
        <v/>
      </c>
      <c r="AB39" s="21">
        <f>'Допущения'!$E$87</f>
        <v/>
      </c>
      <c r="AC39" s="21">
        <f>'Допущения'!$E$87</f>
        <v/>
      </c>
      <c r="AD39" s="21">
        <f>'Допущения'!$E$87</f>
        <v/>
      </c>
      <c r="AE39" s="21">
        <f>'Допущения'!$E$87</f>
        <v/>
      </c>
      <c r="AF39" s="21">
        <f>'Допущения'!$E$87</f>
        <v/>
      </c>
      <c r="AG39" s="21">
        <f>'Допущения'!$E$87</f>
        <v/>
      </c>
      <c r="AH39" s="21">
        <f>'Допущения'!$E$87</f>
        <v/>
      </c>
      <c r="AI39" s="21">
        <f>'Допущения'!$E$87</f>
        <v/>
      </c>
      <c r="AJ39" s="21">
        <f>'Допущения'!$E$87</f>
        <v/>
      </c>
      <c r="AK39" s="21">
        <f>'Допущения'!$E$87</f>
        <v/>
      </c>
      <c r="AL39" s="21">
        <f>'Допущения'!$E$87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IF(C6&gt;='Допущения'!$E$10,'Допущения'!$E$88,0)</f>
        <v/>
      </c>
      <c r="D40" s="21">
        <f>IF(D6&gt;='Допущения'!$E$10,'Допущения'!$E$88,0)</f>
        <v/>
      </c>
      <c r="E40" s="21">
        <f>IF(E6&gt;='Допущения'!$E$10,'Допущения'!$E$88,0)</f>
        <v/>
      </c>
      <c r="F40" s="21">
        <f>IF(F6&gt;='Допущения'!$E$10,'Допущения'!$E$88,0)</f>
        <v/>
      </c>
      <c r="G40" s="21">
        <f>IF(G6&gt;='Допущения'!$E$10,'Допущения'!$E$88,0)</f>
        <v/>
      </c>
      <c r="H40" s="21">
        <f>IF(H6&gt;='Допущения'!$E$10,'Допущения'!$E$88,0)</f>
        <v/>
      </c>
      <c r="I40" s="21">
        <f>IF(I6&gt;='Допущения'!$E$10,'Допущения'!$E$88,0)</f>
        <v/>
      </c>
      <c r="J40" s="21">
        <f>IF(J6&gt;='Допущения'!$E$10,'Допущения'!$E$88,0)</f>
        <v/>
      </c>
      <c r="K40" s="21">
        <f>IF(K6&gt;='Допущения'!$E$10,'Допущения'!$E$88,0)</f>
        <v/>
      </c>
      <c r="L40" s="21">
        <f>IF(L6&gt;='Допущения'!$E$10,'Допущения'!$E$88,0)</f>
        <v/>
      </c>
      <c r="M40" s="21">
        <f>IF(M6&gt;='Допущения'!$E$10,'Допущения'!$E$88,0)</f>
        <v/>
      </c>
      <c r="N40" s="21">
        <f>IF(N6&gt;='Допущения'!$E$10,'Допущения'!$E$88,0)</f>
        <v/>
      </c>
      <c r="O40" s="21">
        <f>IF(O6&gt;='Допущения'!$E$10,'Допущения'!$E$88,0)</f>
        <v/>
      </c>
      <c r="P40" s="21">
        <f>IF(P6&gt;='Допущения'!$E$10,'Допущения'!$E$88,0)</f>
        <v/>
      </c>
      <c r="Q40" s="21">
        <f>IF(Q6&gt;='Допущения'!$E$10,'Допущения'!$E$88,0)</f>
        <v/>
      </c>
      <c r="R40" s="21">
        <f>IF(R6&gt;='Допущения'!$E$10,'Допущения'!$E$88,0)</f>
        <v/>
      </c>
      <c r="S40" s="21">
        <f>IF(S6&gt;='Допущения'!$E$10,'Допущения'!$E$88,0)</f>
        <v/>
      </c>
      <c r="T40" s="21">
        <f>IF(T6&gt;='Допущения'!$E$10,'Допущения'!$E$88,0)</f>
        <v/>
      </c>
      <c r="U40" s="21">
        <f>IF(U6&gt;='Допущения'!$E$10,'Допущения'!$E$88,0)</f>
        <v/>
      </c>
      <c r="V40" s="21">
        <f>IF(V6&gt;='Допущения'!$E$10,'Допущения'!$E$88,0)</f>
        <v/>
      </c>
      <c r="W40" s="21">
        <f>IF(W6&gt;='Допущения'!$E$10,'Допущения'!$E$88,0)</f>
        <v/>
      </c>
      <c r="X40" s="21">
        <f>IF(X6&gt;='Допущения'!$E$10,'Допущения'!$E$88,0)</f>
        <v/>
      </c>
      <c r="Y40" s="21">
        <f>IF(Y6&gt;='Допущения'!$E$10,'Допущения'!$E$88,0)</f>
        <v/>
      </c>
      <c r="Z40" s="21">
        <f>IF(Z6&gt;='Допущения'!$E$10,'Допущения'!$E$88,0)</f>
        <v/>
      </c>
      <c r="AA40" s="21">
        <f>IF(AA6&gt;='Допущения'!$E$10,'Допущения'!$E$88,0)</f>
        <v/>
      </c>
      <c r="AB40" s="21">
        <f>IF(AB6&gt;='Допущения'!$E$10,'Допущения'!$E$88,0)</f>
        <v/>
      </c>
      <c r="AC40" s="21">
        <f>IF(AC6&gt;='Допущения'!$E$10,'Допущения'!$E$88,0)</f>
        <v/>
      </c>
      <c r="AD40" s="21">
        <f>IF(AD6&gt;='Допущения'!$E$10,'Допущения'!$E$88,0)</f>
        <v/>
      </c>
      <c r="AE40" s="21">
        <f>IF(AE6&gt;='Допущения'!$E$10,'Допущения'!$E$88,0)</f>
        <v/>
      </c>
      <c r="AF40" s="21">
        <f>IF(AF6&gt;='Допущения'!$E$10,'Допущения'!$E$88,0)</f>
        <v/>
      </c>
      <c r="AG40" s="21">
        <f>IF(AG6&gt;='Допущения'!$E$10,'Допущения'!$E$88,0)</f>
        <v/>
      </c>
      <c r="AH40" s="21">
        <f>IF(AH6&gt;='Допущения'!$E$10,'Допущения'!$E$88,0)</f>
        <v/>
      </c>
      <c r="AI40" s="21">
        <f>IF(AI6&gt;='Допущения'!$E$10,'Допущения'!$E$88,0)</f>
        <v/>
      </c>
      <c r="AJ40" s="21">
        <f>IF(AJ6&gt;='Допущения'!$E$10,'Допущения'!$E$88,0)</f>
        <v/>
      </c>
      <c r="AK40" s="21">
        <f>IF(AK6&gt;='Допущения'!$E$10,'Допущения'!$E$88,0)</f>
        <v/>
      </c>
      <c r="AL40" s="21">
        <f>IF(AL6&gt;='Допущения'!$E$10,'Допущения'!$E$88,0)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IF(C9=1,'Допущения'!$E$89,0)</f>
        <v/>
      </c>
      <c r="D41" s="21">
        <f>IF(D9=1,'Допущения'!$E$89,0)</f>
        <v/>
      </c>
      <c r="E41" s="21">
        <f>IF(E9=1,'Допущения'!$E$89,0)</f>
        <v/>
      </c>
      <c r="F41" s="21">
        <f>IF(F9=1,'Допущения'!$E$89,0)</f>
        <v/>
      </c>
      <c r="G41" s="21">
        <f>IF(G9=1,'Допущения'!$E$89,0)</f>
        <v/>
      </c>
      <c r="H41" s="21">
        <f>IF(H9=1,'Допущения'!$E$89,0)</f>
        <v/>
      </c>
      <c r="I41" s="21">
        <f>IF(I9=1,'Допущения'!$E$89,0)</f>
        <v/>
      </c>
      <c r="J41" s="21">
        <f>IF(J9=1,'Допущения'!$E$89,0)</f>
        <v/>
      </c>
      <c r="K41" s="21">
        <f>IF(K9=1,'Допущения'!$E$89,0)</f>
        <v/>
      </c>
      <c r="L41" s="21">
        <f>IF(L9=1,'Допущения'!$E$89,0)</f>
        <v/>
      </c>
      <c r="M41" s="21">
        <f>IF(M9=1,'Допущения'!$E$89,0)</f>
        <v/>
      </c>
      <c r="N41" s="21">
        <f>IF(N9=1,'Допущения'!$E$89,0)</f>
        <v/>
      </c>
      <c r="O41" s="21">
        <f>IF(O9=1,'Допущения'!$E$89,0)</f>
        <v/>
      </c>
      <c r="P41" s="21">
        <f>IF(P9=1,'Допущения'!$E$89,0)</f>
        <v/>
      </c>
      <c r="Q41" s="21">
        <f>IF(Q9=1,'Допущения'!$E$89,0)</f>
        <v/>
      </c>
      <c r="R41" s="21">
        <f>IF(R9=1,'Допущения'!$E$89,0)</f>
        <v/>
      </c>
      <c r="S41" s="21">
        <f>IF(S9=1,'Допущения'!$E$89,0)</f>
        <v/>
      </c>
      <c r="T41" s="21">
        <f>IF(T9=1,'Допущения'!$E$89,0)</f>
        <v/>
      </c>
      <c r="U41" s="21">
        <f>IF(U9=1,'Допущения'!$E$89,0)</f>
        <v/>
      </c>
      <c r="V41" s="21">
        <f>IF(V9=1,'Допущения'!$E$89,0)</f>
        <v/>
      </c>
      <c r="W41" s="21">
        <f>IF(W9=1,'Допущения'!$E$89,0)</f>
        <v/>
      </c>
      <c r="X41" s="21">
        <f>IF(X9=1,'Допущения'!$E$89,0)</f>
        <v/>
      </c>
      <c r="Y41" s="21">
        <f>IF(Y9=1,'Допущения'!$E$89,0)</f>
        <v/>
      </c>
      <c r="Z41" s="21">
        <f>IF(Z9=1,'Допущения'!$E$89,0)</f>
        <v/>
      </c>
      <c r="AA41" s="21">
        <f>IF(AA9=1,'Допущения'!$E$89,0)</f>
        <v/>
      </c>
      <c r="AB41" s="21">
        <f>IF(AB9=1,'Допущения'!$E$89,0)</f>
        <v/>
      </c>
      <c r="AC41" s="21">
        <f>IF(AC9=1,'Допущения'!$E$89,0)</f>
        <v/>
      </c>
      <c r="AD41" s="21">
        <f>IF(AD9=1,'Допущения'!$E$89,0)</f>
        <v/>
      </c>
      <c r="AE41" s="21">
        <f>IF(AE9=1,'Допущения'!$E$89,0)</f>
        <v/>
      </c>
      <c r="AF41" s="21">
        <f>IF(AF9=1,'Допущения'!$E$89,0)</f>
        <v/>
      </c>
      <c r="AG41" s="21">
        <f>IF(AG9=1,'Допущения'!$E$89,0)</f>
        <v/>
      </c>
      <c r="AH41" s="21">
        <f>IF(AH9=1,'Допущения'!$E$89,0)</f>
        <v/>
      </c>
      <c r="AI41" s="21">
        <f>IF(AI9=1,'Допущения'!$E$89,0)</f>
        <v/>
      </c>
      <c r="AJ41" s="21">
        <f>IF(AJ9=1,'Допущения'!$E$89,0)</f>
        <v/>
      </c>
      <c r="AK41" s="21">
        <f>IF(AK9=1,'Допущения'!$E$89,0)</f>
        <v/>
      </c>
      <c r="AL41" s="21">
        <f>IF(AL9=1,'Допущения'!$E$89,0)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IF(C6='Допущения'!$E$9-1,'Допущения'!$E$90+'Допущения'!$E$91,0)+IF(AND(C6&gt;'Допущения'!$E$9-1,MOD(C6-('Допущения'!$E$9-1),12)=0),'Допущения'!$E$90,0)</f>
        <v/>
      </c>
      <c r="D42" s="21">
        <f>IF(D6='Допущения'!$E$9-1,'Допущения'!$E$90+'Допущения'!$E$91,0)+IF(AND(D6&gt;'Допущения'!$E$9-1,MOD(D6-('Допущения'!$E$9-1),12)=0),'Допущения'!$E$90,0)</f>
        <v/>
      </c>
      <c r="E42" s="21">
        <f>IF(E6='Допущения'!$E$9-1,'Допущения'!$E$90+'Допущения'!$E$91,0)+IF(AND(E6&gt;'Допущения'!$E$9-1,MOD(E6-('Допущения'!$E$9-1),12)=0),'Допущения'!$E$90,0)</f>
        <v/>
      </c>
      <c r="F42" s="21">
        <f>IF(F6='Допущения'!$E$9-1,'Допущения'!$E$90+'Допущения'!$E$91,0)+IF(AND(F6&gt;'Допущения'!$E$9-1,MOD(F6-('Допущения'!$E$9-1),12)=0),'Допущения'!$E$90,0)</f>
        <v/>
      </c>
      <c r="G42" s="21">
        <f>IF(G6='Допущения'!$E$9-1,'Допущения'!$E$90+'Допущения'!$E$91,0)+IF(AND(G6&gt;'Допущения'!$E$9-1,MOD(G6-('Допущения'!$E$9-1),12)=0),'Допущения'!$E$90,0)</f>
        <v/>
      </c>
      <c r="H42" s="21">
        <f>IF(H6='Допущения'!$E$9-1,'Допущения'!$E$90+'Допущения'!$E$91,0)+IF(AND(H6&gt;'Допущения'!$E$9-1,MOD(H6-('Допущения'!$E$9-1),12)=0),'Допущения'!$E$90,0)</f>
        <v/>
      </c>
      <c r="I42" s="21">
        <f>IF(I6='Допущения'!$E$9-1,'Допущения'!$E$90+'Допущения'!$E$91,0)+IF(AND(I6&gt;'Допущения'!$E$9-1,MOD(I6-('Допущения'!$E$9-1),12)=0),'Допущения'!$E$90,0)</f>
        <v/>
      </c>
      <c r="J42" s="21">
        <f>IF(J6='Допущения'!$E$9-1,'Допущения'!$E$90+'Допущения'!$E$91,0)+IF(AND(J6&gt;'Допущения'!$E$9-1,MOD(J6-('Допущения'!$E$9-1),12)=0),'Допущения'!$E$90,0)</f>
        <v/>
      </c>
      <c r="K42" s="21">
        <f>IF(K6='Допущения'!$E$9-1,'Допущения'!$E$90+'Допущения'!$E$91,0)+IF(AND(K6&gt;'Допущения'!$E$9-1,MOD(K6-('Допущения'!$E$9-1),12)=0),'Допущения'!$E$90,0)</f>
        <v/>
      </c>
      <c r="L42" s="21">
        <f>IF(L6='Допущения'!$E$9-1,'Допущения'!$E$90+'Допущения'!$E$91,0)+IF(AND(L6&gt;'Допущения'!$E$9-1,MOD(L6-('Допущения'!$E$9-1),12)=0),'Допущения'!$E$90,0)</f>
        <v/>
      </c>
      <c r="M42" s="21">
        <f>IF(M6='Допущения'!$E$9-1,'Допущения'!$E$90+'Допущения'!$E$91,0)+IF(AND(M6&gt;'Допущения'!$E$9-1,MOD(M6-('Допущения'!$E$9-1),12)=0),'Допущения'!$E$90,0)</f>
        <v/>
      </c>
      <c r="N42" s="21">
        <f>IF(N6='Допущения'!$E$9-1,'Допущения'!$E$90+'Допущения'!$E$91,0)+IF(AND(N6&gt;'Допущения'!$E$9-1,MOD(N6-('Допущения'!$E$9-1),12)=0),'Допущения'!$E$90,0)</f>
        <v/>
      </c>
      <c r="O42" s="21">
        <f>IF(O6='Допущения'!$E$9-1,'Допущения'!$E$90+'Допущения'!$E$91,0)+IF(AND(O6&gt;'Допущения'!$E$9-1,MOD(O6-('Допущения'!$E$9-1),12)=0),'Допущения'!$E$90,0)</f>
        <v/>
      </c>
      <c r="P42" s="21">
        <f>IF(P6='Допущения'!$E$9-1,'Допущения'!$E$90+'Допущения'!$E$91,0)+IF(AND(P6&gt;'Допущения'!$E$9-1,MOD(P6-('Допущения'!$E$9-1),12)=0),'Допущения'!$E$90,0)</f>
        <v/>
      </c>
      <c r="Q42" s="21">
        <f>IF(Q6='Допущения'!$E$9-1,'Допущения'!$E$90+'Допущения'!$E$91,0)+IF(AND(Q6&gt;'Допущения'!$E$9-1,MOD(Q6-('Допущения'!$E$9-1),12)=0),'Допущения'!$E$90,0)</f>
        <v/>
      </c>
      <c r="R42" s="21">
        <f>IF(R6='Допущения'!$E$9-1,'Допущения'!$E$90+'Допущения'!$E$91,0)+IF(AND(R6&gt;'Допущения'!$E$9-1,MOD(R6-('Допущения'!$E$9-1),12)=0),'Допущения'!$E$90,0)</f>
        <v/>
      </c>
      <c r="S42" s="21">
        <f>IF(S6='Допущения'!$E$9-1,'Допущения'!$E$90+'Допущения'!$E$91,0)+IF(AND(S6&gt;'Допущения'!$E$9-1,MOD(S6-('Допущения'!$E$9-1),12)=0),'Допущения'!$E$90,0)</f>
        <v/>
      </c>
      <c r="T42" s="21">
        <f>IF(T6='Допущения'!$E$9-1,'Допущения'!$E$90+'Допущения'!$E$91,0)+IF(AND(T6&gt;'Допущения'!$E$9-1,MOD(T6-('Допущения'!$E$9-1),12)=0),'Допущения'!$E$90,0)</f>
        <v/>
      </c>
      <c r="U42" s="21">
        <f>IF(U6='Допущения'!$E$9-1,'Допущения'!$E$90+'Допущения'!$E$91,0)+IF(AND(U6&gt;'Допущения'!$E$9-1,MOD(U6-('Допущения'!$E$9-1),12)=0),'Допущения'!$E$90,0)</f>
        <v/>
      </c>
      <c r="V42" s="21">
        <f>IF(V6='Допущения'!$E$9-1,'Допущения'!$E$90+'Допущения'!$E$91,0)+IF(AND(V6&gt;'Допущения'!$E$9-1,MOD(V6-('Допущения'!$E$9-1),12)=0),'Допущения'!$E$90,0)</f>
        <v/>
      </c>
      <c r="W42" s="21">
        <f>IF(W6='Допущения'!$E$9-1,'Допущения'!$E$90+'Допущения'!$E$91,0)+IF(AND(W6&gt;'Допущения'!$E$9-1,MOD(W6-('Допущения'!$E$9-1),12)=0),'Допущения'!$E$90,0)</f>
        <v/>
      </c>
      <c r="X42" s="21">
        <f>IF(X6='Допущения'!$E$9-1,'Допущения'!$E$90+'Допущения'!$E$91,0)+IF(AND(X6&gt;'Допущения'!$E$9-1,MOD(X6-('Допущения'!$E$9-1),12)=0),'Допущения'!$E$90,0)</f>
        <v/>
      </c>
      <c r="Y42" s="21">
        <f>IF(Y6='Допущения'!$E$9-1,'Допущения'!$E$90+'Допущения'!$E$91,0)+IF(AND(Y6&gt;'Допущения'!$E$9-1,MOD(Y6-('Допущения'!$E$9-1),12)=0),'Допущения'!$E$90,0)</f>
        <v/>
      </c>
      <c r="Z42" s="21">
        <f>IF(Z6='Допущения'!$E$9-1,'Допущения'!$E$90+'Допущения'!$E$91,0)+IF(AND(Z6&gt;'Допущения'!$E$9-1,MOD(Z6-('Допущения'!$E$9-1),12)=0),'Допущения'!$E$90,0)</f>
        <v/>
      </c>
      <c r="AA42" s="21">
        <f>IF(AA6='Допущения'!$E$9-1,'Допущения'!$E$90+'Допущения'!$E$91,0)+IF(AND(AA6&gt;'Допущения'!$E$9-1,MOD(AA6-('Допущения'!$E$9-1),12)=0),'Допущения'!$E$90,0)</f>
        <v/>
      </c>
      <c r="AB42" s="21">
        <f>IF(AB6='Допущения'!$E$9-1,'Допущения'!$E$90+'Допущения'!$E$91,0)+IF(AND(AB6&gt;'Допущения'!$E$9-1,MOD(AB6-('Допущения'!$E$9-1),12)=0),'Допущения'!$E$90,0)</f>
        <v/>
      </c>
      <c r="AC42" s="21">
        <f>IF(AC6='Допущения'!$E$9-1,'Допущения'!$E$90+'Допущения'!$E$91,0)+IF(AND(AC6&gt;'Допущения'!$E$9-1,MOD(AC6-('Допущения'!$E$9-1),12)=0),'Допущения'!$E$90,0)</f>
        <v/>
      </c>
      <c r="AD42" s="21">
        <f>IF(AD6='Допущения'!$E$9-1,'Допущения'!$E$90+'Допущения'!$E$91,0)+IF(AND(AD6&gt;'Допущения'!$E$9-1,MOD(AD6-('Допущения'!$E$9-1),12)=0),'Допущения'!$E$90,0)</f>
        <v/>
      </c>
      <c r="AE42" s="21">
        <f>IF(AE6='Допущения'!$E$9-1,'Допущения'!$E$90+'Допущения'!$E$91,0)+IF(AND(AE6&gt;'Допущения'!$E$9-1,MOD(AE6-('Допущения'!$E$9-1),12)=0),'Допущения'!$E$90,0)</f>
        <v/>
      </c>
      <c r="AF42" s="21">
        <f>IF(AF6='Допущения'!$E$9-1,'Допущения'!$E$90+'Допущения'!$E$91,0)+IF(AND(AF6&gt;'Допущения'!$E$9-1,MOD(AF6-('Допущения'!$E$9-1),12)=0),'Допущения'!$E$90,0)</f>
        <v/>
      </c>
      <c r="AG42" s="21">
        <f>IF(AG6='Допущения'!$E$9-1,'Допущения'!$E$90+'Допущения'!$E$91,0)+IF(AND(AG6&gt;'Допущения'!$E$9-1,MOD(AG6-('Допущения'!$E$9-1),12)=0),'Допущения'!$E$90,0)</f>
        <v/>
      </c>
      <c r="AH42" s="21">
        <f>IF(AH6='Допущения'!$E$9-1,'Допущения'!$E$90+'Допущения'!$E$91,0)+IF(AND(AH6&gt;'Допущения'!$E$9-1,MOD(AH6-('Допущения'!$E$9-1),12)=0),'Допущения'!$E$90,0)</f>
        <v/>
      </c>
      <c r="AI42" s="21">
        <f>IF(AI6='Допущения'!$E$9-1,'Допущения'!$E$90+'Допущения'!$E$91,0)+IF(AND(AI6&gt;'Допущения'!$E$9-1,MOD(AI6-('Допущения'!$E$9-1),12)=0),'Допущения'!$E$90,0)</f>
        <v/>
      </c>
      <c r="AJ42" s="21">
        <f>IF(AJ6='Допущения'!$E$9-1,'Допущения'!$E$90+'Допущения'!$E$91,0)+IF(AND(AJ6&gt;'Допущения'!$E$9-1,MOD(AJ6-('Допущения'!$E$9-1),12)=0),'Допущения'!$E$90,0)</f>
        <v/>
      </c>
      <c r="AK42" s="21">
        <f>IF(AK6='Допущения'!$E$9-1,'Допущения'!$E$90+'Допущения'!$E$91,0)+IF(AND(AK6&gt;'Допущения'!$E$9-1,MOD(AK6-('Допущения'!$E$9-1),12)=0),'Допущения'!$E$90,0)</f>
        <v/>
      </c>
      <c r="AL42" s="21">
        <f>IF(AL6='Допущения'!$E$9-1,'Допущения'!$E$90+'Допущения'!$E$91,0)+IF(AND(AL6&gt;'Допущения'!$E$9-1,MOD(AL6-('Допущения'!$E$9-1),12)=0),'Допущения'!$E$90,0)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IF(C6&gt;'Допущения'!$E$9,'Допущения'!$E$92,0)</f>
        <v/>
      </c>
      <c r="D44" s="21">
        <f>IF(D6&gt;'Допущения'!$E$9,'Допущения'!$E$92,0)</f>
        <v/>
      </c>
      <c r="E44" s="21">
        <f>IF(E6&gt;'Допущения'!$E$9,'Допущения'!$E$92,0)</f>
        <v/>
      </c>
      <c r="F44" s="21">
        <f>IF(F6&gt;'Допущения'!$E$9,'Допущения'!$E$92,0)</f>
        <v/>
      </c>
      <c r="G44" s="21">
        <f>IF(G6&gt;'Допущения'!$E$9,'Допущения'!$E$92,0)</f>
        <v/>
      </c>
      <c r="H44" s="21">
        <f>IF(H6&gt;'Допущения'!$E$9,'Допущения'!$E$92,0)</f>
        <v/>
      </c>
      <c r="I44" s="21">
        <f>IF(I6&gt;'Допущения'!$E$9,'Допущения'!$E$92,0)</f>
        <v/>
      </c>
      <c r="J44" s="21">
        <f>IF(J6&gt;'Допущения'!$E$9,'Допущения'!$E$92,0)</f>
        <v/>
      </c>
      <c r="K44" s="21">
        <f>IF(K6&gt;'Допущения'!$E$9,'Допущения'!$E$92,0)</f>
        <v/>
      </c>
      <c r="L44" s="21">
        <f>IF(L6&gt;'Допущения'!$E$9,'Допущения'!$E$92,0)</f>
        <v/>
      </c>
      <c r="M44" s="21">
        <f>IF(M6&gt;'Допущения'!$E$9,'Допущения'!$E$92,0)</f>
        <v/>
      </c>
      <c r="N44" s="21">
        <f>IF(N6&gt;'Допущения'!$E$9,'Допущения'!$E$92,0)</f>
        <v/>
      </c>
      <c r="O44" s="21">
        <f>IF(O6&gt;'Допущения'!$E$9,'Допущения'!$E$92,0)</f>
        <v/>
      </c>
      <c r="P44" s="21">
        <f>IF(P6&gt;'Допущения'!$E$9,'Допущения'!$E$92,0)</f>
        <v/>
      </c>
      <c r="Q44" s="21">
        <f>IF(Q6&gt;'Допущения'!$E$9,'Допущения'!$E$92,0)</f>
        <v/>
      </c>
      <c r="R44" s="21">
        <f>IF(R6&gt;'Допущения'!$E$9,'Допущения'!$E$92,0)</f>
        <v/>
      </c>
      <c r="S44" s="21">
        <f>IF(S6&gt;'Допущения'!$E$9,'Допущения'!$E$92,0)</f>
        <v/>
      </c>
      <c r="T44" s="21">
        <f>IF(T6&gt;'Допущения'!$E$9,'Допущения'!$E$92,0)</f>
        <v/>
      </c>
      <c r="U44" s="21">
        <f>IF(U6&gt;'Допущения'!$E$9,'Допущения'!$E$92,0)</f>
        <v/>
      </c>
      <c r="V44" s="21">
        <f>IF(V6&gt;'Допущения'!$E$9,'Допущения'!$E$92,0)</f>
        <v/>
      </c>
      <c r="W44" s="21">
        <f>IF(W6&gt;'Допущения'!$E$9,'Допущения'!$E$92,0)</f>
        <v/>
      </c>
      <c r="X44" s="21">
        <f>IF(X6&gt;'Допущения'!$E$9,'Допущения'!$E$92,0)</f>
        <v/>
      </c>
      <c r="Y44" s="21">
        <f>IF(Y6&gt;'Допущения'!$E$9,'Допущения'!$E$92,0)</f>
        <v/>
      </c>
      <c r="Z44" s="21">
        <f>IF(Z6&gt;'Допущения'!$E$9,'Допущения'!$E$92,0)</f>
        <v/>
      </c>
      <c r="AA44" s="21">
        <f>IF(AA6&gt;'Допущения'!$E$9,'Допущения'!$E$92,0)</f>
        <v/>
      </c>
      <c r="AB44" s="21">
        <f>IF(AB6&gt;'Допущения'!$E$9,'Допущения'!$E$92,0)</f>
        <v/>
      </c>
      <c r="AC44" s="21">
        <f>IF(AC6&gt;'Допущения'!$E$9,'Допущения'!$E$92,0)</f>
        <v/>
      </c>
      <c r="AD44" s="21">
        <f>IF(AD6&gt;'Допущения'!$E$9,'Допущения'!$E$92,0)</f>
        <v/>
      </c>
      <c r="AE44" s="21">
        <f>IF(AE6&gt;'Допущения'!$E$9,'Допущения'!$E$92,0)</f>
        <v/>
      </c>
      <c r="AF44" s="21">
        <f>IF(AF6&gt;'Допущения'!$E$9,'Допущения'!$E$92,0)</f>
        <v/>
      </c>
      <c r="AG44" s="21">
        <f>IF(AG6&gt;'Допущения'!$E$9,'Допущения'!$E$92,0)</f>
        <v/>
      </c>
      <c r="AH44" s="21">
        <f>IF(AH6&gt;'Допущения'!$E$9,'Допущения'!$E$92,0)</f>
        <v/>
      </c>
      <c r="AI44" s="21">
        <f>IF(AI6&gt;'Допущения'!$E$9,'Допущения'!$E$92,0)</f>
        <v/>
      </c>
      <c r="AJ44" s="21">
        <f>IF(AJ6&gt;'Допущения'!$E$9,'Допущения'!$E$92,0)</f>
        <v/>
      </c>
      <c r="AK44" s="21">
        <f>IF(AK6&gt;'Допущения'!$E$9,'Допущения'!$E$92,0)</f>
        <v/>
      </c>
      <c r="AL44" s="21">
        <f>IF(AL6&gt;'Допущения'!$E$9,'Допущения'!$E$92,0)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IF(C6&gt;='Допущения'!$E$94,MIN('Допущения'!$E$95,MAX(0,'Допущения'!$E$96*(0+0))),0)</f>
        <v/>
      </c>
      <c r="D46" s="21">
        <f>IF(D6&gt;='Допущения'!$E$94,MIN('Допущения'!$E$95,MAX(0,'Допущения'!$E$96*(C48+C46))),0)</f>
        <v/>
      </c>
      <c r="E46" s="21">
        <f>IF(E6&gt;='Допущения'!$E$94,MIN('Допущения'!$E$95,MAX(0,'Допущения'!$E$96*(D48+D46))),0)</f>
        <v/>
      </c>
      <c r="F46" s="21">
        <f>IF(F6&gt;='Допущения'!$E$94,MIN('Допущения'!$E$95,MAX(0,'Допущения'!$E$96*(E48+E46))),0)</f>
        <v/>
      </c>
      <c r="G46" s="21">
        <f>IF(G6&gt;='Допущения'!$E$94,MIN('Допущения'!$E$95,MAX(0,'Допущения'!$E$96*(F48+F46))),0)</f>
        <v/>
      </c>
      <c r="H46" s="21">
        <f>IF(H6&gt;='Допущения'!$E$94,MIN('Допущения'!$E$95,MAX(0,'Допущения'!$E$96*(G48+G46))),0)</f>
        <v/>
      </c>
      <c r="I46" s="21">
        <f>IF(I6&gt;='Допущения'!$E$94,MIN('Допущения'!$E$95,MAX(0,'Допущения'!$E$96*(H48+H46))),0)</f>
        <v/>
      </c>
      <c r="J46" s="21">
        <f>IF(J6&gt;='Допущения'!$E$94,MIN('Допущения'!$E$95,MAX(0,'Допущения'!$E$96*(I48+I46))),0)</f>
        <v/>
      </c>
      <c r="K46" s="21">
        <f>IF(K6&gt;='Допущения'!$E$94,MIN('Допущения'!$E$95,MAX(0,'Допущения'!$E$96*(J48+J46))),0)</f>
        <v/>
      </c>
      <c r="L46" s="21">
        <f>IF(L6&gt;='Допущения'!$E$94,MIN('Допущения'!$E$95,MAX(0,'Допущения'!$E$96*(K48+K46))),0)</f>
        <v/>
      </c>
      <c r="M46" s="21">
        <f>IF(M6&gt;='Допущения'!$E$94,MIN('Допущения'!$E$95,MAX(0,'Допущения'!$E$96*(L48+L46))),0)</f>
        <v/>
      </c>
      <c r="N46" s="21">
        <f>IF(N6&gt;='Допущения'!$E$94,MIN('Допущения'!$E$95,MAX(0,'Допущения'!$E$96*(M48+M46))),0)</f>
        <v/>
      </c>
      <c r="O46" s="21">
        <f>IF(O6&gt;='Допущения'!$E$94,MIN('Допущения'!$E$95,MAX(0,'Допущения'!$E$96*(N48+N46))),0)</f>
        <v/>
      </c>
      <c r="P46" s="21">
        <f>IF(P6&gt;='Допущения'!$E$94,MIN('Допущения'!$E$95,MAX(0,'Допущения'!$E$96*(O48+O46))),0)</f>
        <v/>
      </c>
      <c r="Q46" s="21">
        <f>IF(Q6&gt;='Допущения'!$E$94,MIN('Допущения'!$E$95,MAX(0,'Допущения'!$E$96*(P48+P46))),0)</f>
        <v/>
      </c>
      <c r="R46" s="21">
        <f>IF(R6&gt;='Допущения'!$E$94,MIN('Допущения'!$E$95,MAX(0,'Допущения'!$E$96*(Q48+Q46))),0)</f>
        <v/>
      </c>
      <c r="S46" s="21">
        <f>IF(S6&gt;='Допущения'!$E$94,MIN('Допущения'!$E$95,MAX(0,'Допущения'!$E$96*(R48+R46))),0)</f>
        <v/>
      </c>
      <c r="T46" s="21">
        <f>IF(T6&gt;='Допущения'!$E$94,MIN('Допущения'!$E$95,MAX(0,'Допущения'!$E$96*(S48+S46))),0)</f>
        <v/>
      </c>
      <c r="U46" s="21">
        <f>IF(U6&gt;='Допущения'!$E$94,MIN('Допущения'!$E$95,MAX(0,'Допущения'!$E$96*(T48+T46))),0)</f>
        <v/>
      </c>
      <c r="V46" s="21">
        <f>IF(V6&gt;='Допущения'!$E$94,MIN('Допущения'!$E$95,MAX(0,'Допущения'!$E$96*(U48+U46))),0)</f>
        <v/>
      </c>
      <c r="W46" s="21">
        <f>IF(W6&gt;='Допущения'!$E$94,MIN('Допущения'!$E$95,MAX(0,'Допущения'!$E$96*(V48+V46))),0)</f>
        <v/>
      </c>
      <c r="X46" s="21">
        <f>IF(X6&gt;='Допущения'!$E$94,MIN('Допущения'!$E$95,MAX(0,'Допущения'!$E$96*(W48+W46))),0)</f>
        <v/>
      </c>
      <c r="Y46" s="21">
        <f>IF(Y6&gt;='Допущения'!$E$94,MIN('Допущения'!$E$95,MAX(0,'Допущения'!$E$96*(X48+X46))),0)</f>
        <v/>
      </c>
      <c r="Z46" s="21">
        <f>IF(Z6&gt;='Допущения'!$E$94,MIN('Допущения'!$E$95,MAX(0,'Допущения'!$E$96*(Y48+Y46))),0)</f>
        <v/>
      </c>
      <c r="AA46" s="21">
        <f>IF(AA6&gt;='Допущения'!$E$94,MIN('Допущения'!$E$95,MAX(0,'Допущения'!$E$96*(Z48+Z46))),0)</f>
        <v/>
      </c>
      <c r="AB46" s="21">
        <f>IF(AB6&gt;='Допущения'!$E$94,MIN('Допущения'!$E$95,MAX(0,'Допущения'!$E$96*(AA48+AA46))),0)</f>
        <v/>
      </c>
      <c r="AC46" s="21">
        <f>IF(AC6&gt;='Допущения'!$E$94,MIN('Допущения'!$E$95,MAX(0,'Допущения'!$E$96*(AB48+AB46))),0)</f>
        <v/>
      </c>
      <c r="AD46" s="21">
        <f>IF(AD6&gt;='Допущения'!$E$94,MIN('Допущения'!$E$95,MAX(0,'Допущения'!$E$96*(AC48+AC46))),0)</f>
        <v/>
      </c>
      <c r="AE46" s="21">
        <f>IF(AE6&gt;='Допущения'!$E$94,MIN('Допущения'!$E$95,MAX(0,'Допущения'!$E$96*(AD48+AD46))),0)</f>
        <v/>
      </c>
      <c r="AF46" s="21">
        <f>IF(AF6&gt;='Допущения'!$E$94,MIN('Допущения'!$E$95,MAX(0,'Допущения'!$E$96*(AE48+AE46))),0)</f>
        <v/>
      </c>
      <c r="AG46" s="21">
        <f>IF(AG6&gt;='Допущения'!$E$94,MIN('Допущения'!$E$95,MAX(0,'Допущения'!$E$96*(AF48+AF46))),0)</f>
        <v/>
      </c>
      <c r="AH46" s="21">
        <f>IF(AH6&gt;='Допущения'!$E$94,MIN('Допущения'!$E$95,MAX(0,'Допущения'!$E$96*(AG48+AG46))),0)</f>
        <v/>
      </c>
      <c r="AI46" s="21">
        <f>IF(AI6&gt;='Допущения'!$E$94,MIN('Допущения'!$E$95,MAX(0,'Допущения'!$E$96*(AH48+AH46))),0)</f>
        <v/>
      </c>
      <c r="AJ46" s="21">
        <f>IF(AJ6&gt;='Допущения'!$E$94,MIN('Допущения'!$E$95,MAX(0,'Допущения'!$E$96*(AI48+AI46))),0)</f>
        <v/>
      </c>
      <c r="AK46" s="21">
        <f>IF(AK6&gt;='Допущения'!$E$94,MIN('Допущения'!$E$95,MAX(0,'Допущения'!$E$96*(AJ48+AJ46))),0)</f>
        <v/>
      </c>
      <c r="AL46" s="21">
        <f>IF(AL6&gt;='Допущения'!$E$94,MIN('Допущения'!$E$95,MAX(0,'Допущения'!$E$96*(AK48+AK46))),0)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MAX(0,C48)*'Допущения'!$E$57</f>
        <v/>
      </c>
      <c r="D49" s="21">
        <f>MAX(0,D48)*'Допущения'!$E$57</f>
        <v/>
      </c>
      <c r="E49" s="21">
        <f>MAX(0,E48)*'Допущения'!$E$57</f>
        <v/>
      </c>
      <c r="F49" s="21">
        <f>MAX(0,F48)*'Допущения'!$E$57</f>
        <v/>
      </c>
      <c r="G49" s="21">
        <f>MAX(0,G48)*'Допущения'!$E$57</f>
        <v/>
      </c>
      <c r="H49" s="21">
        <f>MAX(0,H48)*'Допущения'!$E$57</f>
        <v/>
      </c>
      <c r="I49" s="21">
        <f>MAX(0,I48)*'Допущения'!$E$57</f>
        <v/>
      </c>
      <c r="J49" s="21">
        <f>MAX(0,J48)*'Допущения'!$E$57</f>
        <v/>
      </c>
      <c r="K49" s="21">
        <f>MAX(0,K48)*'Допущения'!$E$57</f>
        <v/>
      </c>
      <c r="L49" s="21">
        <f>MAX(0,L48)*'Допущения'!$E$57</f>
        <v/>
      </c>
      <c r="M49" s="21">
        <f>MAX(0,M48)*'Допущения'!$E$57</f>
        <v/>
      </c>
      <c r="N49" s="21">
        <f>MAX(0,N48)*'Допущения'!$E$57</f>
        <v/>
      </c>
      <c r="O49" s="21">
        <f>MAX(0,O48)*'Допущения'!$E$57</f>
        <v/>
      </c>
      <c r="P49" s="21">
        <f>MAX(0,P48)*'Допущения'!$E$57</f>
        <v/>
      </c>
      <c r="Q49" s="21">
        <f>MAX(0,Q48)*'Допущения'!$E$57</f>
        <v/>
      </c>
      <c r="R49" s="21">
        <f>MAX(0,R48)*'Допущения'!$E$57</f>
        <v/>
      </c>
      <c r="S49" s="21">
        <f>MAX(0,S48)*'Допущения'!$E$57</f>
        <v/>
      </c>
      <c r="T49" s="21">
        <f>MAX(0,T48)*'Допущения'!$E$57</f>
        <v/>
      </c>
      <c r="U49" s="21">
        <f>MAX(0,U48)*'Допущения'!$E$57</f>
        <v/>
      </c>
      <c r="V49" s="21">
        <f>MAX(0,V48)*'Допущения'!$E$57</f>
        <v/>
      </c>
      <c r="W49" s="21">
        <f>MAX(0,W48)*'Допущения'!$E$57</f>
        <v/>
      </c>
      <c r="X49" s="21">
        <f>MAX(0,X48)*'Допущения'!$E$57</f>
        <v/>
      </c>
      <c r="Y49" s="21">
        <f>MAX(0,Y48)*'Допущения'!$E$57</f>
        <v/>
      </c>
      <c r="Z49" s="21">
        <f>MAX(0,Z48)*'Допущения'!$E$57</f>
        <v/>
      </c>
      <c r="AA49" s="21">
        <f>MAX(0,AA48)*'Допущения'!$E$57</f>
        <v/>
      </c>
      <c r="AB49" s="21">
        <f>MAX(0,AB48)*'Допущения'!$E$57</f>
        <v/>
      </c>
      <c r="AC49" s="21">
        <f>MAX(0,AC48)*'Допущения'!$E$57</f>
        <v/>
      </c>
      <c r="AD49" s="21">
        <f>MAX(0,AD48)*'Допущения'!$E$57</f>
        <v/>
      </c>
      <c r="AE49" s="21">
        <f>MAX(0,AE48)*'Допущения'!$E$57</f>
        <v/>
      </c>
      <c r="AF49" s="21">
        <f>MAX(0,AF48)*'Допущения'!$E$57</f>
        <v/>
      </c>
      <c r="AG49" s="21">
        <f>MAX(0,AG48)*'Допущения'!$E$57</f>
        <v/>
      </c>
      <c r="AH49" s="21">
        <f>MAX(0,AH48)*'Допущения'!$E$57</f>
        <v/>
      </c>
      <c r="AI49" s="21">
        <f>MAX(0,AI48)*'Допущения'!$E$57</f>
        <v/>
      </c>
      <c r="AJ49" s="21">
        <f>MAX(0,AJ48)*'Допущения'!$E$57</f>
        <v/>
      </c>
      <c r="AK49" s="21">
        <f>MAX(0,AK48)*'Допущения'!$E$57</f>
        <v/>
      </c>
      <c r="AL49" s="21">
        <f>MAX(0,AL48)*'Допущения'!$E$57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(IF(C6=1,INDEX('Допущения'!$C$104:$C$106,'Допущения'!$D$103)*'Допущения'!$E$107,0)+IF(C6='Допущения'!$E$9,INDEX('Допущения'!$C$104:$C$106,'Допущения'!$D$103)*(1-'Допущения'!$E$107),0))/'Допущения'!$E$7</f>
        <v/>
      </c>
      <c r="D53" s="21">
        <f>(IF(D6=1,INDEX('Допущения'!$C$104:$C$106,'Допущения'!$D$103)*'Допущения'!$E$107,0)+IF(D6='Допущения'!$E$9,INDEX('Допущения'!$C$104:$C$106,'Допущения'!$D$103)*(1-'Допущения'!$E$107),0))/'Допущения'!$E$7</f>
        <v/>
      </c>
      <c r="E53" s="21">
        <f>(IF(E6=1,INDEX('Допущения'!$C$104:$C$106,'Допущения'!$D$103)*'Допущения'!$E$107,0)+IF(E6='Допущения'!$E$9,INDEX('Допущения'!$C$104:$C$106,'Допущения'!$D$103)*(1-'Допущения'!$E$107),0))/'Допущения'!$E$7</f>
        <v/>
      </c>
      <c r="F53" s="21">
        <f>(IF(F6=1,INDEX('Допущения'!$C$104:$C$106,'Допущения'!$D$103)*'Допущения'!$E$107,0)+IF(F6='Допущения'!$E$9,INDEX('Допущения'!$C$104:$C$106,'Допущения'!$D$103)*(1-'Допущения'!$E$107),0))/'Допущения'!$E$7</f>
        <v/>
      </c>
      <c r="G53" s="21">
        <f>(IF(G6=1,INDEX('Допущения'!$C$104:$C$106,'Допущения'!$D$103)*'Допущения'!$E$107,0)+IF(G6='Допущения'!$E$9,INDEX('Допущения'!$C$104:$C$106,'Допущения'!$D$103)*(1-'Допущения'!$E$107),0))/'Допущения'!$E$7</f>
        <v/>
      </c>
      <c r="H53" s="21">
        <f>(IF(H6=1,INDEX('Допущения'!$C$104:$C$106,'Допущения'!$D$103)*'Допущения'!$E$107,0)+IF(H6='Допущения'!$E$9,INDEX('Допущения'!$C$104:$C$106,'Допущения'!$D$103)*(1-'Допущения'!$E$107),0))/'Допущения'!$E$7</f>
        <v/>
      </c>
      <c r="I53" s="21">
        <f>(IF(I6=1,INDEX('Допущения'!$C$104:$C$106,'Допущения'!$D$103)*'Допущения'!$E$107,0)+IF(I6='Допущения'!$E$9,INDEX('Допущения'!$C$104:$C$106,'Допущения'!$D$103)*(1-'Допущения'!$E$107),0))/'Допущения'!$E$7</f>
        <v/>
      </c>
      <c r="J53" s="21">
        <f>(IF(J6=1,INDEX('Допущения'!$C$104:$C$106,'Допущения'!$D$103)*'Допущения'!$E$107,0)+IF(J6='Допущения'!$E$9,INDEX('Допущения'!$C$104:$C$106,'Допущения'!$D$103)*(1-'Допущения'!$E$107),0))/'Допущения'!$E$7</f>
        <v/>
      </c>
      <c r="K53" s="21">
        <f>(IF(K6=1,INDEX('Допущения'!$C$104:$C$106,'Допущения'!$D$103)*'Допущения'!$E$107,0)+IF(K6='Допущения'!$E$9,INDEX('Допущения'!$C$104:$C$106,'Допущения'!$D$103)*(1-'Допущения'!$E$107),0))/'Допущения'!$E$7</f>
        <v/>
      </c>
      <c r="L53" s="21">
        <f>(IF(L6=1,INDEX('Допущения'!$C$104:$C$106,'Допущения'!$D$103)*'Допущения'!$E$107,0)+IF(L6='Допущения'!$E$9,INDEX('Допущения'!$C$104:$C$106,'Допущения'!$D$103)*(1-'Допущения'!$E$107),0))/'Допущения'!$E$7</f>
        <v/>
      </c>
      <c r="M53" s="21">
        <f>(IF(M6=1,INDEX('Допущения'!$C$104:$C$106,'Допущения'!$D$103)*'Допущения'!$E$107,0)+IF(M6='Допущения'!$E$9,INDEX('Допущения'!$C$104:$C$106,'Допущения'!$D$103)*(1-'Допущения'!$E$107),0))/'Допущения'!$E$7</f>
        <v/>
      </c>
      <c r="N53" s="21">
        <f>(IF(N6=1,INDEX('Допущения'!$C$104:$C$106,'Допущения'!$D$103)*'Допущения'!$E$107,0)+IF(N6='Допущения'!$E$9,INDEX('Допущения'!$C$104:$C$106,'Допущения'!$D$103)*(1-'Допущения'!$E$107),0))/'Допущения'!$E$7</f>
        <v/>
      </c>
      <c r="O53" s="21">
        <f>(IF(O6=1,INDEX('Допущения'!$C$104:$C$106,'Допущения'!$D$103)*'Допущения'!$E$107,0)+IF(O6='Допущения'!$E$9,INDEX('Допущения'!$C$104:$C$106,'Допущения'!$D$103)*(1-'Допущения'!$E$107),0))/'Допущения'!$E$7</f>
        <v/>
      </c>
      <c r="P53" s="21">
        <f>(IF(P6=1,INDEX('Допущения'!$C$104:$C$106,'Допущения'!$D$103)*'Допущения'!$E$107,0)+IF(P6='Допущения'!$E$9,INDEX('Допущения'!$C$104:$C$106,'Допущения'!$D$103)*(1-'Допущения'!$E$107),0))/'Допущения'!$E$7</f>
        <v/>
      </c>
      <c r="Q53" s="21">
        <f>(IF(Q6=1,INDEX('Допущения'!$C$104:$C$106,'Допущения'!$D$103)*'Допущения'!$E$107,0)+IF(Q6='Допущения'!$E$9,INDEX('Допущения'!$C$104:$C$106,'Допущения'!$D$103)*(1-'Допущения'!$E$107),0))/'Допущения'!$E$7</f>
        <v/>
      </c>
      <c r="R53" s="21">
        <f>(IF(R6=1,INDEX('Допущения'!$C$104:$C$106,'Допущения'!$D$103)*'Допущения'!$E$107,0)+IF(R6='Допущения'!$E$9,INDEX('Допущения'!$C$104:$C$106,'Допущения'!$D$103)*(1-'Допущения'!$E$107),0))/'Допущения'!$E$7</f>
        <v/>
      </c>
      <c r="S53" s="21">
        <f>(IF(S6=1,INDEX('Допущения'!$C$104:$C$106,'Допущения'!$D$103)*'Допущения'!$E$107,0)+IF(S6='Допущения'!$E$9,INDEX('Допущения'!$C$104:$C$106,'Допущения'!$D$103)*(1-'Допущения'!$E$107),0))/'Допущения'!$E$7</f>
        <v/>
      </c>
      <c r="T53" s="21">
        <f>(IF(T6=1,INDEX('Допущения'!$C$104:$C$106,'Допущения'!$D$103)*'Допущения'!$E$107,0)+IF(T6='Допущения'!$E$9,INDEX('Допущения'!$C$104:$C$106,'Допущения'!$D$103)*(1-'Допущения'!$E$107),0))/'Допущения'!$E$7</f>
        <v/>
      </c>
      <c r="U53" s="21">
        <f>(IF(U6=1,INDEX('Допущения'!$C$104:$C$106,'Допущения'!$D$103)*'Допущения'!$E$107,0)+IF(U6='Допущения'!$E$9,INDEX('Допущения'!$C$104:$C$106,'Допущения'!$D$103)*(1-'Допущения'!$E$107),0))/'Допущения'!$E$7</f>
        <v/>
      </c>
      <c r="V53" s="21">
        <f>(IF(V6=1,INDEX('Допущения'!$C$104:$C$106,'Допущения'!$D$103)*'Допущения'!$E$107,0)+IF(V6='Допущения'!$E$9,INDEX('Допущения'!$C$104:$C$106,'Допущения'!$D$103)*(1-'Допущения'!$E$107),0))/'Допущения'!$E$7</f>
        <v/>
      </c>
      <c r="W53" s="21">
        <f>(IF(W6=1,INDEX('Допущения'!$C$104:$C$106,'Допущения'!$D$103)*'Допущения'!$E$107,0)+IF(W6='Допущения'!$E$9,INDEX('Допущения'!$C$104:$C$106,'Допущения'!$D$103)*(1-'Допущения'!$E$107),0))/'Допущения'!$E$7</f>
        <v/>
      </c>
      <c r="X53" s="21">
        <f>(IF(X6=1,INDEX('Допущения'!$C$104:$C$106,'Допущения'!$D$103)*'Допущения'!$E$107,0)+IF(X6='Допущения'!$E$9,INDEX('Допущения'!$C$104:$C$106,'Допущения'!$D$103)*(1-'Допущения'!$E$107),0))/'Допущения'!$E$7</f>
        <v/>
      </c>
      <c r="Y53" s="21">
        <f>(IF(Y6=1,INDEX('Допущения'!$C$104:$C$106,'Допущения'!$D$103)*'Допущения'!$E$107,0)+IF(Y6='Допущения'!$E$9,INDEX('Допущения'!$C$104:$C$106,'Допущения'!$D$103)*(1-'Допущения'!$E$107),0))/'Допущения'!$E$7</f>
        <v/>
      </c>
      <c r="Z53" s="21">
        <f>(IF(Z6=1,INDEX('Допущения'!$C$104:$C$106,'Допущения'!$D$103)*'Допущения'!$E$107,0)+IF(Z6='Допущения'!$E$9,INDEX('Допущения'!$C$104:$C$106,'Допущения'!$D$103)*(1-'Допущения'!$E$107),0))/'Допущения'!$E$7</f>
        <v/>
      </c>
      <c r="AA53" s="21">
        <f>(IF(AA6=1,INDEX('Допущения'!$C$104:$C$106,'Допущения'!$D$103)*'Допущения'!$E$107,0)+IF(AA6='Допущения'!$E$9,INDEX('Допущения'!$C$104:$C$106,'Допущения'!$D$103)*(1-'Допущения'!$E$107),0))/'Допущения'!$E$7</f>
        <v/>
      </c>
      <c r="AB53" s="21">
        <f>(IF(AB6=1,INDEX('Допущения'!$C$104:$C$106,'Допущения'!$D$103)*'Допущения'!$E$107,0)+IF(AB6='Допущения'!$E$9,INDEX('Допущения'!$C$104:$C$106,'Допущения'!$D$103)*(1-'Допущения'!$E$107),0))/'Допущения'!$E$7</f>
        <v/>
      </c>
      <c r="AC53" s="21">
        <f>(IF(AC6=1,INDEX('Допущения'!$C$104:$C$106,'Допущения'!$D$103)*'Допущения'!$E$107,0)+IF(AC6='Допущения'!$E$9,INDEX('Допущения'!$C$104:$C$106,'Допущения'!$D$103)*(1-'Допущения'!$E$107),0))/'Допущения'!$E$7</f>
        <v/>
      </c>
      <c r="AD53" s="21">
        <f>(IF(AD6=1,INDEX('Допущения'!$C$104:$C$106,'Допущения'!$D$103)*'Допущения'!$E$107,0)+IF(AD6='Допущения'!$E$9,INDEX('Допущения'!$C$104:$C$106,'Допущения'!$D$103)*(1-'Допущения'!$E$107),0))/'Допущения'!$E$7</f>
        <v/>
      </c>
      <c r="AE53" s="21">
        <f>(IF(AE6=1,INDEX('Допущения'!$C$104:$C$106,'Допущения'!$D$103)*'Допущения'!$E$107,0)+IF(AE6='Допущения'!$E$9,INDEX('Допущения'!$C$104:$C$106,'Допущения'!$D$103)*(1-'Допущения'!$E$107),0))/'Допущения'!$E$7</f>
        <v/>
      </c>
      <c r="AF53" s="21">
        <f>(IF(AF6=1,INDEX('Допущения'!$C$104:$C$106,'Допущения'!$D$103)*'Допущения'!$E$107,0)+IF(AF6='Допущения'!$E$9,INDEX('Допущения'!$C$104:$C$106,'Допущения'!$D$103)*(1-'Допущения'!$E$107),0))/'Допущения'!$E$7</f>
        <v/>
      </c>
      <c r="AG53" s="21">
        <f>(IF(AG6=1,INDEX('Допущения'!$C$104:$C$106,'Допущения'!$D$103)*'Допущения'!$E$107,0)+IF(AG6='Допущения'!$E$9,INDEX('Допущения'!$C$104:$C$106,'Допущения'!$D$103)*(1-'Допущения'!$E$107),0))/'Допущения'!$E$7</f>
        <v/>
      </c>
      <c r="AH53" s="21">
        <f>(IF(AH6=1,INDEX('Допущения'!$C$104:$C$106,'Допущения'!$D$103)*'Допущения'!$E$107,0)+IF(AH6='Допущения'!$E$9,INDEX('Допущения'!$C$104:$C$106,'Допущения'!$D$103)*(1-'Допущения'!$E$107),0))/'Допущения'!$E$7</f>
        <v/>
      </c>
      <c r="AI53" s="21">
        <f>(IF(AI6=1,INDEX('Допущения'!$C$104:$C$106,'Допущения'!$D$103)*'Допущения'!$E$107,0)+IF(AI6='Допущения'!$E$9,INDEX('Допущения'!$C$104:$C$106,'Допущения'!$D$103)*(1-'Допущения'!$E$107),0))/'Допущения'!$E$7</f>
        <v/>
      </c>
      <c r="AJ53" s="21">
        <f>(IF(AJ6=1,INDEX('Допущения'!$C$104:$C$106,'Допущения'!$D$103)*'Допущения'!$E$107,0)+IF(AJ6='Допущения'!$E$9,INDEX('Допущения'!$C$104:$C$106,'Допущения'!$D$103)*(1-'Допущения'!$E$107),0))/'Допущения'!$E$7</f>
        <v/>
      </c>
      <c r="AK53" s="21">
        <f>(IF(AK6=1,INDEX('Допущения'!$C$104:$C$106,'Допущения'!$D$103)*'Допущения'!$E$107,0)+IF(AK6='Допущения'!$E$9,INDEX('Допущения'!$C$104:$C$106,'Допущения'!$D$103)*(1-'Допущения'!$E$107),0))/'Допущения'!$E$7</f>
        <v/>
      </c>
      <c r="AL53" s="21">
        <f>(IF(AL6=1,INDEX('Допущения'!$C$104:$C$106,'Допущения'!$D$103)*'Допущения'!$E$107,0)+IF(AL6='Допущения'!$E$9,INDEX('Допущения'!$C$104:$C$106,'Допущения'!$D$103)*(1-'Допущения'!$E$107),0))/'Допущения'!$E$7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(IF(C6=1,MIN(INDEX('Допущения'!$D$104:$D$106,'Допущения'!$D$103),'Допущения'!$E$108),0)+IF(AND(C6&gt;=2,C6&lt;=4),MAX(0,INDEX('Допущения'!$D$104:$D$106,'Допущения'!$D$103)-'Допущения'!$E$108)/3,0))/'Допущения'!$E$7</f>
        <v/>
      </c>
      <c r="D54" s="21">
        <f>(IF(D6=1,MIN(INDEX('Допущения'!$D$104:$D$106,'Допущения'!$D$103),'Допущения'!$E$108),0)+IF(AND(D6&gt;=2,D6&lt;=4),MAX(0,INDEX('Допущения'!$D$104:$D$106,'Допущения'!$D$103)-'Допущения'!$E$108)/3,0))/'Допущения'!$E$7</f>
        <v/>
      </c>
      <c r="E54" s="21">
        <f>(IF(E6=1,MIN(INDEX('Допущения'!$D$104:$D$106,'Допущения'!$D$103),'Допущения'!$E$108),0)+IF(AND(E6&gt;=2,E6&lt;=4),MAX(0,INDEX('Допущения'!$D$104:$D$106,'Допущения'!$D$103)-'Допущения'!$E$108)/3,0))/'Допущения'!$E$7</f>
        <v/>
      </c>
      <c r="F54" s="21">
        <f>(IF(F6=1,MIN(INDEX('Допущения'!$D$104:$D$106,'Допущения'!$D$103),'Допущения'!$E$108),0)+IF(AND(F6&gt;=2,F6&lt;=4),MAX(0,INDEX('Допущения'!$D$104:$D$106,'Допущения'!$D$103)-'Допущения'!$E$108)/3,0))/'Допущения'!$E$7</f>
        <v/>
      </c>
      <c r="G54" s="21">
        <f>(IF(G6=1,MIN(INDEX('Допущения'!$D$104:$D$106,'Допущения'!$D$103),'Допущения'!$E$108),0)+IF(AND(G6&gt;=2,G6&lt;=4),MAX(0,INDEX('Допущения'!$D$104:$D$106,'Допущения'!$D$103)-'Допущения'!$E$108)/3,0))/'Допущения'!$E$7</f>
        <v/>
      </c>
      <c r="H54" s="21">
        <f>(IF(H6=1,MIN(INDEX('Допущения'!$D$104:$D$106,'Допущения'!$D$103),'Допущения'!$E$108),0)+IF(AND(H6&gt;=2,H6&lt;=4),MAX(0,INDEX('Допущения'!$D$104:$D$106,'Допущения'!$D$103)-'Допущения'!$E$108)/3,0))/'Допущения'!$E$7</f>
        <v/>
      </c>
      <c r="I54" s="21">
        <f>(IF(I6=1,MIN(INDEX('Допущения'!$D$104:$D$106,'Допущения'!$D$103),'Допущения'!$E$108),0)+IF(AND(I6&gt;=2,I6&lt;=4),MAX(0,INDEX('Допущения'!$D$104:$D$106,'Допущения'!$D$103)-'Допущения'!$E$108)/3,0))/'Допущения'!$E$7</f>
        <v/>
      </c>
      <c r="J54" s="21">
        <f>(IF(J6=1,MIN(INDEX('Допущения'!$D$104:$D$106,'Допущения'!$D$103),'Допущения'!$E$108),0)+IF(AND(J6&gt;=2,J6&lt;=4),MAX(0,INDEX('Допущения'!$D$104:$D$106,'Допущения'!$D$103)-'Допущения'!$E$108)/3,0))/'Допущения'!$E$7</f>
        <v/>
      </c>
      <c r="K54" s="21">
        <f>(IF(K6=1,MIN(INDEX('Допущения'!$D$104:$D$106,'Допущения'!$D$103),'Допущения'!$E$108),0)+IF(AND(K6&gt;=2,K6&lt;=4),MAX(0,INDEX('Допущения'!$D$104:$D$106,'Допущения'!$D$103)-'Допущения'!$E$108)/3,0))/'Допущения'!$E$7</f>
        <v/>
      </c>
      <c r="L54" s="21">
        <f>(IF(L6=1,MIN(INDEX('Допущения'!$D$104:$D$106,'Допущения'!$D$103),'Допущения'!$E$108),0)+IF(AND(L6&gt;=2,L6&lt;=4),MAX(0,INDEX('Допущения'!$D$104:$D$106,'Допущения'!$D$103)-'Допущения'!$E$108)/3,0))/'Допущения'!$E$7</f>
        <v/>
      </c>
      <c r="M54" s="21">
        <f>(IF(M6=1,MIN(INDEX('Допущения'!$D$104:$D$106,'Допущения'!$D$103),'Допущения'!$E$108),0)+IF(AND(M6&gt;=2,M6&lt;=4),MAX(0,INDEX('Допущения'!$D$104:$D$106,'Допущения'!$D$103)-'Допущения'!$E$108)/3,0))/'Допущения'!$E$7</f>
        <v/>
      </c>
      <c r="N54" s="21">
        <f>(IF(N6=1,MIN(INDEX('Допущения'!$D$104:$D$106,'Допущения'!$D$103),'Допущения'!$E$108),0)+IF(AND(N6&gt;=2,N6&lt;=4),MAX(0,INDEX('Допущения'!$D$104:$D$106,'Допущения'!$D$103)-'Допущения'!$E$108)/3,0))/'Допущения'!$E$7</f>
        <v/>
      </c>
      <c r="O54" s="21">
        <f>(IF(O6=1,MIN(INDEX('Допущения'!$D$104:$D$106,'Допущения'!$D$103),'Допущения'!$E$108),0)+IF(AND(O6&gt;=2,O6&lt;=4),MAX(0,INDEX('Допущения'!$D$104:$D$106,'Допущения'!$D$103)-'Допущения'!$E$108)/3,0))/'Допущения'!$E$7</f>
        <v/>
      </c>
      <c r="P54" s="21">
        <f>(IF(P6=1,MIN(INDEX('Допущения'!$D$104:$D$106,'Допущения'!$D$103),'Допущения'!$E$108),0)+IF(AND(P6&gt;=2,P6&lt;=4),MAX(0,INDEX('Допущения'!$D$104:$D$106,'Допущения'!$D$103)-'Допущения'!$E$108)/3,0))/'Допущения'!$E$7</f>
        <v/>
      </c>
      <c r="Q54" s="21">
        <f>(IF(Q6=1,MIN(INDEX('Допущения'!$D$104:$D$106,'Допущения'!$D$103),'Допущения'!$E$108),0)+IF(AND(Q6&gt;=2,Q6&lt;=4),MAX(0,INDEX('Допущения'!$D$104:$D$106,'Допущения'!$D$103)-'Допущения'!$E$108)/3,0))/'Допущения'!$E$7</f>
        <v/>
      </c>
      <c r="R54" s="21">
        <f>(IF(R6=1,MIN(INDEX('Допущения'!$D$104:$D$106,'Допущения'!$D$103),'Допущения'!$E$108),0)+IF(AND(R6&gt;=2,R6&lt;=4),MAX(0,INDEX('Допущения'!$D$104:$D$106,'Допущения'!$D$103)-'Допущения'!$E$108)/3,0))/'Допущения'!$E$7</f>
        <v/>
      </c>
      <c r="S54" s="21">
        <f>(IF(S6=1,MIN(INDEX('Допущения'!$D$104:$D$106,'Допущения'!$D$103),'Допущения'!$E$108),0)+IF(AND(S6&gt;=2,S6&lt;=4),MAX(0,INDEX('Допущения'!$D$104:$D$106,'Допущения'!$D$103)-'Допущения'!$E$108)/3,0))/'Допущения'!$E$7</f>
        <v/>
      </c>
      <c r="T54" s="21">
        <f>(IF(T6=1,MIN(INDEX('Допущения'!$D$104:$D$106,'Допущения'!$D$103),'Допущения'!$E$108),0)+IF(AND(T6&gt;=2,T6&lt;=4),MAX(0,INDEX('Допущения'!$D$104:$D$106,'Допущения'!$D$103)-'Допущения'!$E$108)/3,0))/'Допущения'!$E$7</f>
        <v/>
      </c>
      <c r="U54" s="21">
        <f>(IF(U6=1,MIN(INDEX('Допущения'!$D$104:$D$106,'Допущения'!$D$103),'Допущения'!$E$108),0)+IF(AND(U6&gt;=2,U6&lt;=4),MAX(0,INDEX('Допущения'!$D$104:$D$106,'Допущения'!$D$103)-'Допущения'!$E$108)/3,0))/'Допущения'!$E$7</f>
        <v/>
      </c>
      <c r="V54" s="21">
        <f>(IF(V6=1,MIN(INDEX('Допущения'!$D$104:$D$106,'Допущения'!$D$103),'Допущения'!$E$108),0)+IF(AND(V6&gt;=2,V6&lt;=4),MAX(0,INDEX('Допущения'!$D$104:$D$106,'Допущения'!$D$103)-'Допущения'!$E$108)/3,0))/'Допущения'!$E$7</f>
        <v/>
      </c>
      <c r="W54" s="21">
        <f>(IF(W6=1,MIN(INDEX('Допущения'!$D$104:$D$106,'Допущения'!$D$103),'Допущения'!$E$108),0)+IF(AND(W6&gt;=2,W6&lt;=4),MAX(0,INDEX('Допущения'!$D$104:$D$106,'Допущения'!$D$103)-'Допущения'!$E$108)/3,0))/'Допущения'!$E$7</f>
        <v/>
      </c>
      <c r="X54" s="21">
        <f>(IF(X6=1,MIN(INDEX('Допущения'!$D$104:$D$106,'Допущения'!$D$103),'Допущения'!$E$108),0)+IF(AND(X6&gt;=2,X6&lt;=4),MAX(0,INDEX('Допущения'!$D$104:$D$106,'Допущения'!$D$103)-'Допущения'!$E$108)/3,0))/'Допущения'!$E$7</f>
        <v/>
      </c>
      <c r="Y54" s="21">
        <f>(IF(Y6=1,MIN(INDEX('Допущения'!$D$104:$D$106,'Допущения'!$D$103),'Допущения'!$E$108),0)+IF(AND(Y6&gt;=2,Y6&lt;=4),MAX(0,INDEX('Допущения'!$D$104:$D$106,'Допущения'!$D$103)-'Допущения'!$E$108)/3,0))/'Допущения'!$E$7</f>
        <v/>
      </c>
      <c r="Z54" s="21">
        <f>(IF(Z6=1,MIN(INDEX('Допущения'!$D$104:$D$106,'Допущения'!$D$103),'Допущения'!$E$108),0)+IF(AND(Z6&gt;=2,Z6&lt;=4),MAX(0,INDEX('Допущения'!$D$104:$D$106,'Допущения'!$D$103)-'Допущения'!$E$108)/3,0))/'Допущения'!$E$7</f>
        <v/>
      </c>
      <c r="AA54" s="21">
        <f>(IF(AA6=1,MIN(INDEX('Допущения'!$D$104:$D$106,'Допущения'!$D$103),'Допущения'!$E$108),0)+IF(AND(AA6&gt;=2,AA6&lt;=4),MAX(0,INDEX('Допущения'!$D$104:$D$106,'Допущения'!$D$103)-'Допущения'!$E$108)/3,0))/'Допущения'!$E$7</f>
        <v/>
      </c>
      <c r="AB54" s="21">
        <f>(IF(AB6=1,MIN(INDEX('Допущения'!$D$104:$D$106,'Допущения'!$D$103),'Допущения'!$E$108),0)+IF(AND(AB6&gt;=2,AB6&lt;=4),MAX(0,INDEX('Допущения'!$D$104:$D$106,'Допущения'!$D$103)-'Допущения'!$E$108)/3,0))/'Допущения'!$E$7</f>
        <v/>
      </c>
      <c r="AC54" s="21">
        <f>(IF(AC6=1,MIN(INDEX('Допущения'!$D$104:$D$106,'Допущения'!$D$103),'Допущения'!$E$108),0)+IF(AND(AC6&gt;=2,AC6&lt;=4),MAX(0,INDEX('Допущения'!$D$104:$D$106,'Допущения'!$D$103)-'Допущения'!$E$108)/3,0))/'Допущения'!$E$7</f>
        <v/>
      </c>
      <c r="AD54" s="21">
        <f>(IF(AD6=1,MIN(INDEX('Допущения'!$D$104:$D$106,'Допущения'!$D$103),'Допущения'!$E$108),0)+IF(AND(AD6&gt;=2,AD6&lt;=4),MAX(0,INDEX('Допущения'!$D$104:$D$106,'Допущения'!$D$103)-'Допущения'!$E$108)/3,0))/'Допущения'!$E$7</f>
        <v/>
      </c>
      <c r="AE54" s="21">
        <f>(IF(AE6=1,MIN(INDEX('Допущения'!$D$104:$D$106,'Допущения'!$D$103),'Допущения'!$E$108),0)+IF(AND(AE6&gt;=2,AE6&lt;=4),MAX(0,INDEX('Допущения'!$D$104:$D$106,'Допущения'!$D$103)-'Допущения'!$E$108)/3,0))/'Допущения'!$E$7</f>
        <v/>
      </c>
      <c r="AF54" s="21">
        <f>(IF(AF6=1,MIN(INDEX('Допущения'!$D$104:$D$106,'Допущения'!$D$103),'Допущения'!$E$108),0)+IF(AND(AF6&gt;=2,AF6&lt;=4),MAX(0,INDEX('Допущения'!$D$104:$D$106,'Допущения'!$D$103)-'Допущения'!$E$108)/3,0))/'Допущения'!$E$7</f>
        <v/>
      </c>
      <c r="AG54" s="21">
        <f>(IF(AG6=1,MIN(INDEX('Допущения'!$D$104:$D$106,'Допущения'!$D$103),'Допущения'!$E$108),0)+IF(AND(AG6&gt;=2,AG6&lt;=4),MAX(0,INDEX('Допущения'!$D$104:$D$106,'Допущения'!$D$103)-'Допущения'!$E$108)/3,0))/'Допущения'!$E$7</f>
        <v/>
      </c>
      <c r="AH54" s="21">
        <f>(IF(AH6=1,MIN(INDEX('Допущения'!$D$104:$D$106,'Допущения'!$D$103),'Допущения'!$E$108),0)+IF(AND(AH6&gt;=2,AH6&lt;=4),MAX(0,INDEX('Допущения'!$D$104:$D$106,'Допущения'!$D$103)-'Допущения'!$E$108)/3,0))/'Допущения'!$E$7</f>
        <v/>
      </c>
      <c r="AI54" s="21">
        <f>(IF(AI6=1,MIN(INDEX('Допущения'!$D$104:$D$106,'Допущения'!$D$103),'Допущения'!$E$108),0)+IF(AND(AI6&gt;=2,AI6&lt;=4),MAX(0,INDEX('Допущения'!$D$104:$D$106,'Допущения'!$D$103)-'Допущения'!$E$108)/3,0))/'Допущения'!$E$7</f>
        <v/>
      </c>
      <c r="AJ54" s="21">
        <f>(IF(AJ6=1,MIN(INDEX('Допущения'!$D$104:$D$106,'Допущения'!$D$103),'Допущения'!$E$108),0)+IF(AND(AJ6&gt;=2,AJ6&lt;=4),MAX(0,INDEX('Допущения'!$D$104:$D$106,'Допущения'!$D$103)-'Допущения'!$E$108)/3,0))/'Допущения'!$E$7</f>
        <v/>
      </c>
      <c r="AK54" s="21">
        <f>(IF(AK6=1,MIN(INDEX('Допущения'!$D$104:$D$106,'Допущения'!$D$103),'Допущения'!$E$108),0)+IF(AND(AK6&gt;=2,AK6&lt;=4),MAX(0,INDEX('Допущения'!$D$104:$D$106,'Допущения'!$D$103)-'Допущения'!$E$108)/3,0))/'Допущения'!$E$7</f>
        <v/>
      </c>
      <c r="AL54" s="21">
        <f>(IF(AL6=1,MIN(INDEX('Допущения'!$D$104:$D$106,'Допущения'!$D$103),'Допущения'!$E$108),0)+IF(AND(AL6&gt;=2,AL6&lt;=4),MAX(0,INDEX('Допущения'!$D$104:$D$106,'Допущения'!$D$103)-'Допущения'!$E$108)/3,0))/'Допущения'!$E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E$107+IF(C6&gt;='Допущения'!$E$9,'Допущения'!$C$104*(1-'Допущения'!$E$107),0)+MIN('Допущения'!$D$104,'Допущения'!$E$108)+MAX(0,'Допущения'!$D$104-'Допущения'!$E$108)*MIN(MAX(C6-1,0),3)/3)/'Допущения'!$E$7</f>
        <v/>
      </c>
      <c r="D56" s="21">
        <f>D51+('Допущения'!$C$104*'Допущения'!$E$107+IF(D6&gt;='Допущения'!$E$9,'Допущения'!$C$104*(1-'Допущения'!$E$107),0)+MIN('Допущения'!$D$104,'Допущения'!$E$108)+MAX(0,'Допущения'!$D$104-'Допущения'!$E$108)*MIN(MAX(D6-1,0),3)/3)/'Допущения'!$E$7</f>
        <v/>
      </c>
      <c r="E56" s="21">
        <f>E51+('Допущения'!$C$104*'Допущения'!$E$107+IF(E6&gt;='Допущения'!$E$9,'Допущения'!$C$104*(1-'Допущения'!$E$107),0)+MIN('Допущения'!$D$104,'Допущения'!$E$108)+MAX(0,'Допущения'!$D$104-'Допущения'!$E$108)*MIN(MAX(E6-1,0),3)/3)/'Допущения'!$E$7</f>
        <v/>
      </c>
      <c r="F56" s="21">
        <f>F51+('Допущения'!$C$104*'Допущения'!$E$107+IF(F6&gt;='Допущения'!$E$9,'Допущения'!$C$104*(1-'Допущения'!$E$107),0)+MIN('Допущения'!$D$104,'Допущения'!$E$108)+MAX(0,'Допущения'!$D$104-'Допущения'!$E$108)*MIN(MAX(F6-1,0),3)/3)/'Допущения'!$E$7</f>
        <v/>
      </c>
      <c r="G56" s="21">
        <f>G51+('Допущения'!$C$104*'Допущения'!$E$107+IF(G6&gt;='Допущения'!$E$9,'Допущения'!$C$104*(1-'Допущения'!$E$107),0)+MIN('Допущения'!$D$104,'Допущения'!$E$108)+MAX(0,'Допущения'!$D$104-'Допущения'!$E$108)*MIN(MAX(G6-1,0),3)/3)/'Допущения'!$E$7</f>
        <v/>
      </c>
      <c r="H56" s="21">
        <f>H51+('Допущения'!$C$104*'Допущения'!$E$107+IF(H6&gt;='Допущения'!$E$9,'Допущения'!$C$104*(1-'Допущения'!$E$107),0)+MIN('Допущения'!$D$104,'Допущения'!$E$108)+MAX(0,'Допущения'!$D$104-'Допущения'!$E$108)*MIN(MAX(H6-1,0),3)/3)/'Допущения'!$E$7</f>
        <v/>
      </c>
      <c r="I56" s="21">
        <f>I51+('Допущения'!$C$104*'Допущения'!$E$107+IF(I6&gt;='Допущения'!$E$9,'Допущения'!$C$104*(1-'Допущения'!$E$107),0)+MIN('Допущения'!$D$104,'Допущения'!$E$108)+MAX(0,'Допущения'!$D$104-'Допущения'!$E$108)*MIN(MAX(I6-1,0),3)/3)/'Допущения'!$E$7</f>
        <v/>
      </c>
      <c r="J56" s="21">
        <f>J51+('Допущения'!$C$104*'Допущения'!$E$107+IF(J6&gt;='Допущения'!$E$9,'Допущения'!$C$104*(1-'Допущения'!$E$107),0)+MIN('Допущения'!$D$104,'Допущения'!$E$108)+MAX(0,'Допущения'!$D$104-'Допущения'!$E$108)*MIN(MAX(J6-1,0),3)/3)/'Допущения'!$E$7</f>
        <v/>
      </c>
      <c r="K56" s="21">
        <f>K51+('Допущения'!$C$104*'Допущения'!$E$107+IF(K6&gt;='Допущения'!$E$9,'Допущения'!$C$104*(1-'Допущения'!$E$107),0)+MIN('Допущения'!$D$104,'Допущения'!$E$108)+MAX(0,'Допущения'!$D$104-'Допущения'!$E$108)*MIN(MAX(K6-1,0),3)/3)/'Допущения'!$E$7</f>
        <v/>
      </c>
      <c r="L56" s="21">
        <f>L51+('Допущения'!$C$104*'Допущения'!$E$107+IF(L6&gt;='Допущения'!$E$9,'Допущения'!$C$104*(1-'Допущения'!$E$107),0)+MIN('Допущения'!$D$104,'Допущения'!$E$108)+MAX(0,'Допущения'!$D$104-'Допущения'!$E$108)*MIN(MAX(L6-1,0),3)/3)/'Допущения'!$E$7</f>
        <v/>
      </c>
      <c r="M56" s="21">
        <f>M51+('Допущения'!$C$104*'Допущения'!$E$107+IF(M6&gt;='Допущения'!$E$9,'Допущения'!$C$104*(1-'Допущения'!$E$107),0)+MIN('Допущения'!$D$104,'Допущения'!$E$108)+MAX(0,'Допущения'!$D$104-'Допущения'!$E$108)*MIN(MAX(M6-1,0),3)/3)/'Допущения'!$E$7</f>
        <v/>
      </c>
      <c r="N56" s="21">
        <f>N51+('Допущения'!$C$104*'Допущения'!$E$107+IF(N6&gt;='Допущения'!$E$9,'Допущения'!$C$104*(1-'Допущения'!$E$107),0)+MIN('Допущения'!$D$104,'Допущения'!$E$108)+MAX(0,'Допущения'!$D$104-'Допущения'!$E$108)*MIN(MAX(N6-1,0),3)/3)/'Допущения'!$E$7</f>
        <v/>
      </c>
      <c r="O56" s="21">
        <f>O51+('Допущения'!$C$104*'Допущения'!$E$107+IF(O6&gt;='Допущения'!$E$9,'Допущения'!$C$104*(1-'Допущения'!$E$107),0)+MIN('Допущения'!$D$104,'Допущения'!$E$108)+MAX(0,'Допущения'!$D$104-'Допущения'!$E$108)*MIN(MAX(O6-1,0),3)/3)/'Допущения'!$E$7</f>
        <v/>
      </c>
      <c r="P56" s="21">
        <f>P51+('Допущения'!$C$104*'Допущения'!$E$107+IF(P6&gt;='Допущения'!$E$9,'Допущения'!$C$104*(1-'Допущения'!$E$107),0)+MIN('Допущения'!$D$104,'Допущения'!$E$108)+MAX(0,'Допущения'!$D$104-'Допущения'!$E$108)*MIN(MAX(P6-1,0),3)/3)/'Допущения'!$E$7</f>
        <v/>
      </c>
      <c r="Q56" s="21">
        <f>Q51+('Допущения'!$C$104*'Допущения'!$E$107+IF(Q6&gt;='Допущения'!$E$9,'Допущения'!$C$104*(1-'Допущения'!$E$107),0)+MIN('Допущения'!$D$104,'Допущения'!$E$108)+MAX(0,'Допущения'!$D$104-'Допущения'!$E$108)*MIN(MAX(Q6-1,0),3)/3)/'Допущения'!$E$7</f>
        <v/>
      </c>
      <c r="R56" s="21">
        <f>R51+('Допущения'!$C$104*'Допущения'!$E$107+IF(R6&gt;='Допущения'!$E$9,'Допущения'!$C$104*(1-'Допущения'!$E$107),0)+MIN('Допущения'!$D$104,'Допущения'!$E$108)+MAX(0,'Допущения'!$D$104-'Допущения'!$E$108)*MIN(MAX(R6-1,0),3)/3)/'Допущения'!$E$7</f>
        <v/>
      </c>
      <c r="S56" s="21">
        <f>S51+('Допущения'!$C$104*'Допущения'!$E$107+IF(S6&gt;='Допущения'!$E$9,'Допущения'!$C$104*(1-'Допущения'!$E$107),0)+MIN('Допущения'!$D$104,'Допущения'!$E$108)+MAX(0,'Допущения'!$D$104-'Допущения'!$E$108)*MIN(MAX(S6-1,0),3)/3)/'Допущения'!$E$7</f>
        <v/>
      </c>
      <c r="T56" s="21">
        <f>T51+('Допущения'!$C$104*'Допущения'!$E$107+IF(T6&gt;='Допущения'!$E$9,'Допущения'!$C$104*(1-'Допущения'!$E$107),0)+MIN('Допущения'!$D$104,'Допущения'!$E$108)+MAX(0,'Допущения'!$D$104-'Допущения'!$E$108)*MIN(MAX(T6-1,0),3)/3)/'Допущения'!$E$7</f>
        <v/>
      </c>
      <c r="U56" s="21">
        <f>U51+('Допущения'!$C$104*'Допущения'!$E$107+IF(U6&gt;='Допущения'!$E$9,'Допущения'!$C$104*(1-'Допущения'!$E$107),0)+MIN('Допущения'!$D$104,'Допущения'!$E$108)+MAX(0,'Допущения'!$D$104-'Допущения'!$E$108)*MIN(MAX(U6-1,0),3)/3)/'Допущения'!$E$7</f>
        <v/>
      </c>
      <c r="V56" s="21">
        <f>V51+('Допущения'!$C$104*'Допущения'!$E$107+IF(V6&gt;='Допущения'!$E$9,'Допущения'!$C$104*(1-'Допущения'!$E$107),0)+MIN('Допущения'!$D$104,'Допущения'!$E$108)+MAX(0,'Допущения'!$D$104-'Допущения'!$E$108)*MIN(MAX(V6-1,0),3)/3)/'Допущения'!$E$7</f>
        <v/>
      </c>
      <c r="W56" s="21">
        <f>W51+('Допущения'!$C$104*'Допущения'!$E$107+IF(W6&gt;='Допущения'!$E$9,'Допущения'!$C$104*(1-'Допущения'!$E$107),0)+MIN('Допущения'!$D$104,'Допущения'!$E$108)+MAX(0,'Допущения'!$D$104-'Допущения'!$E$108)*MIN(MAX(W6-1,0),3)/3)/'Допущения'!$E$7</f>
        <v/>
      </c>
      <c r="X56" s="21">
        <f>X51+('Допущения'!$C$104*'Допущения'!$E$107+IF(X6&gt;='Допущения'!$E$9,'Допущения'!$C$104*(1-'Допущения'!$E$107),0)+MIN('Допущения'!$D$104,'Допущения'!$E$108)+MAX(0,'Допущения'!$D$104-'Допущения'!$E$108)*MIN(MAX(X6-1,0),3)/3)/'Допущения'!$E$7</f>
        <v/>
      </c>
      <c r="Y56" s="21">
        <f>Y51+('Допущения'!$C$104*'Допущения'!$E$107+IF(Y6&gt;='Допущения'!$E$9,'Допущения'!$C$104*(1-'Допущения'!$E$107),0)+MIN('Допущения'!$D$104,'Допущения'!$E$108)+MAX(0,'Допущения'!$D$104-'Допущения'!$E$108)*MIN(MAX(Y6-1,0),3)/3)/'Допущения'!$E$7</f>
        <v/>
      </c>
      <c r="Z56" s="21">
        <f>Z51+('Допущения'!$C$104*'Допущения'!$E$107+IF(Z6&gt;='Допущения'!$E$9,'Допущения'!$C$104*(1-'Допущения'!$E$107),0)+MIN('Допущения'!$D$104,'Допущения'!$E$108)+MAX(0,'Допущения'!$D$104-'Допущения'!$E$108)*MIN(MAX(Z6-1,0),3)/3)/'Допущения'!$E$7</f>
        <v/>
      </c>
      <c r="AA56" s="21">
        <f>AA51+('Допущения'!$C$104*'Допущения'!$E$107+IF(AA6&gt;='Допущения'!$E$9,'Допущения'!$C$104*(1-'Допущения'!$E$107),0)+MIN('Допущения'!$D$104,'Допущения'!$E$108)+MAX(0,'Допущения'!$D$104-'Допущения'!$E$108)*MIN(MAX(AA6-1,0),3)/3)/'Допущения'!$E$7</f>
        <v/>
      </c>
      <c r="AB56" s="21">
        <f>AB51+('Допущения'!$C$104*'Допущения'!$E$107+IF(AB6&gt;='Допущения'!$E$9,'Допущения'!$C$104*(1-'Допущения'!$E$107),0)+MIN('Допущения'!$D$104,'Допущения'!$E$108)+MAX(0,'Допущения'!$D$104-'Допущения'!$E$108)*MIN(MAX(AB6-1,0),3)/3)/'Допущения'!$E$7</f>
        <v/>
      </c>
      <c r="AC56" s="21">
        <f>AC51+('Допущения'!$C$104*'Допущения'!$E$107+IF(AC6&gt;='Допущения'!$E$9,'Допущения'!$C$104*(1-'Допущения'!$E$107),0)+MIN('Допущения'!$D$104,'Допущения'!$E$108)+MAX(0,'Допущения'!$D$104-'Допущения'!$E$108)*MIN(MAX(AC6-1,0),3)/3)/'Допущения'!$E$7</f>
        <v/>
      </c>
      <c r="AD56" s="21">
        <f>AD51+('Допущения'!$C$104*'Допущения'!$E$107+IF(AD6&gt;='Допущения'!$E$9,'Допущения'!$C$104*(1-'Допущения'!$E$107),0)+MIN('Допущения'!$D$104,'Допущения'!$E$108)+MAX(0,'Допущения'!$D$104-'Допущения'!$E$108)*MIN(MAX(AD6-1,0),3)/3)/'Допущения'!$E$7</f>
        <v/>
      </c>
      <c r="AE56" s="21">
        <f>AE51+('Допущения'!$C$104*'Допущения'!$E$107+IF(AE6&gt;='Допущения'!$E$9,'Допущения'!$C$104*(1-'Допущения'!$E$107),0)+MIN('Допущения'!$D$104,'Допущения'!$E$108)+MAX(0,'Допущения'!$D$104-'Допущения'!$E$108)*MIN(MAX(AE6-1,0),3)/3)/'Допущения'!$E$7</f>
        <v/>
      </c>
      <c r="AF56" s="21">
        <f>AF51+('Допущения'!$C$104*'Допущения'!$E$107+IF(AF6&gt;='Допущения'!$E$9,'Допущения'!$C$104*(1-'Допущения'!$E$107),0)+MIN('Допущения'!$D$104,'Допущения'!$E$108)+MAX(0,'Допущения'!$D$104-'Допущения'!$E$108)*MIN(MAX(AF6-1,0),3)/3)/'Допущения'!$E$7</f>
        <v/>
      </c>
      <c r="AG56" s="21">
        <f>AG51+('Допущения'!$C$104*'Допущения'!$E$107+IF(AG6&gt;='Допущения'!$E$9,'Допущения'!$C$104*(1-'Допущения'!$E$107),0)+MIN('Допущения'!$D$104,'Допущения'!$E$108)+MAX(0,'Допущения'!$D$104-'Допущения'!$E$108)*MIN(MAX(AG6-1,0),3)/3)/'Допущения'!$E$7</f>
        <v/>
      </c>
      <c r="AH56" s="21">
        <f>AH51+('Допущения'!$C$104*'Допущения'!$E$107+IF(AH6&gt;='Допущения'!$E$9,'Допущения'!$C$104*(1-'Допущения'!$E$107),0)+MIN('Допущения'!$D$104,'Допущения'!$E$108)+MAX(0,'Допущения'!$D$104-'Допущения'!$E$108)*MIN(MAX(AH6-1,0),3)/3)/'Допущения'!$E$7</f>
        <v/>
      </c>
      <c r="AI56" s="21">
        <f>AI51+('Допущения'!$C$104*'Допущения'!$E$107+IF(AI6&gt;='Допущения'!$E$9,'Допущения'!$C$104*(1-'Допущения'!$E$107),0)+MIN('Допущения'!$D$104,'Допущения'!$E$108)+MAX(0,'Допущения'!$D$104-'Допущения'!$E$108)*MIN(MAX(AI6-1,0),3)/3)/'Допущения'!$E$7</f>
        <v/>
      </c>
      <c r="AJ56" s="21">
        <f>AJ51+('Допущения'!$C$104*'Допущения'!$E$107+IF(AJ6&gt;='Допущения'!$E$9,'Допущения'!$C$104*(1-'Допущения'!$E$107),0)+MIN('Допущения'!$D$104,'Допущения'!$E$108)+MAX(0,'Допущения'!$D$104-'Допущения'!$E$108)*MIN(MAX(AJ6-1,0),3)/3)/'Допущения'!$E$7</f>
        <v/>
      </c>
      <c r="AK56" s="21">
        <f>AK51+('Допущения'!$C$104*'Допущения'!$E$107+IF(AK6&gt;='Допущения'!$E$9,'Допущения'!$C$104*(1-'Допущения'!$E$107),0)+MIN('Допущения'!$D$104,'Допущения'!$E$108)+MAX(0,'Допущения'!$D$104-'Допущения'!$E$108)*MIN(MAX(AK6-1,0),3)/3)/'Допущения'!$E$7</f>
        <v/>
      </c>
      <c r="AL56" s="21">
        <f>AL51+('Допущения'!$C$104*'Допущения'!$E$107+IF(AL6&gt;='Допущения'!$E$9,'Допущения'!$C$104*(1-'Допущения'!$E$107),0)+MIN('Допущения'!$D$104,'Допущения'!$E$108)+MAX(0,'Допущения'!$D$104-'Допущения'!$E$108)*MIN(MAX(AL6-1,0),3)/3)/'Допущения'!$E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E$107+IF(C6&gt;='Допущения'!$E$9,'Допущения'!$C$105*(1-'Допущения'!$E$107),0)+MIN('Допущения'!$D$105,'Допущения'!$E$108)+MAX(0,'Допущения'!$D$105-'Допущения'!$E$108)*MIN(MAX(C6-1,0),3)/3)/'Допущения'!$E$7</f>
        <v/>
      </c>
      <c r="D57" s="21">
        <f>D51+('Допущения'!$C$105*'Допущения'!$E$107+IF(D6&gt;='Допущения'!$E$9,'Допущения'!$C$105*(1-'Допущения'!$E$107),0)+MIN('Допущения'!$D$105,'Допущения'!$E$108)+MAX(0,'Допущения'!$D$105-'Допущения'!$E$108)*MIN(MAX(D6-1,0),3)/3)/'Допущения'!$E$7</f>
        <v/>
      </c>
      <c r="E57" s="21">
        <f>E51+('Допущения'!$C$105*'Допущения'!$E$107+IF(E6&gt;='Допущения'!$E$9,'Допущения'!$C$105*(1-'Допущения'!$E$107),0)+MIN('Допущения'!$D$105,'Допущения'!$E$108)+MAX(0,'Допущения'!$D$105-'Допущения'!$E$108)*MIN(MAX(E6-1,0),3)/3)/'Допущения'!$E$7</f>
        <v/>
      </c>
      <c r="F57" s="21">
        <f>F51+('Допущения'!$C$105*'Допущения'!$E$107+IF(F6&gt;='Допущения'!$E$9,'Допущения'!$C$105*(1-'Допущения'!$E$107),0)+MIN('Допущения'!$D$105,'Допущения'!$E$108)+MAX(0,'Допущения'!$D$105-'Допущения'!$E$108)*MIN(MAX(F6-1,0),3)/3)/'Допущения'!$E$7</f>
        <v/>
      </c>
      <c r="G57" s="21">
        <f>G51+('Допущения'!$C$105*'Допущения'!$E$107+IF(G6&gt;='Допущения'!$E$9,'Допущения'!$C$105*(1-'Допущения'!$E$107),0)+MIN('Допущения'!$D$105,'Допущения'!$E$108)+MAX(0,'Допущения'!$D$105-'Допущения'!$E$108)*MIN(MAX(G6-1,0),3)/3)/'Допущения'!$E$7</f>
        <v/>
      </c>
      <c r="H57" s="21">
        <f>H51+('Допущения'!$C$105*'Допущения'!$E$107+IF(H6&gt;='Допущения'!$E$9,'Допущения'!$C$105*(1-'Допущения'!$E$107),0)+MIN('Допущения'!$D$105,'Допущения'!$E$108)+MAX(0,'Допущения'!$D$105-'Допущения'!$E$108)*MIN(MAX(H6-1,0),3)/3)/'Допущения'!$E$7</f>
        <v/>
      </c>
      <c r="I57" s="21">
        <f>I51+('Допущения'!$C$105*'Допущения'!$E$107+IF(I6&gt;='Допущения'!$E$9,'Допущения'!$C$105*(1-'Допущения'!$E$107),0)+MIN('Допущения'!$D$105,'Допущения'!$E$108)+MAX(0,'Допущения'!$D$105-'Допущения'!$E$108)*MIN(MAX(I6-1,0),3)/3)/'Допущения'!$E$7</f>
        <v/>
      </c>
      <c r="J57" s="21">
        <f>J51+('Допущения'!$C$105*'Допущения'!$E$107+IF(J6&gt;='Допущения'!$E$9,'Допущения'!$C$105*(1-'Допущения'!$E$107),0)+MIN('Допущения'!$D$105,'Допущения'!$E$108)+MAX(0,'Допущения'!$D$105-'Допущения'!$E$108)*MIN(MAX(J6-1,0),3)/3)/'Допущения'!$E$7</f>
        <v/>
      </c>
      <c r="K57" s="21">
        <f>K51+('Допущения'!$C$105*'Допущения'!$E$107+IF(K6&gt;='Допущения'!$E$9,'Допущения'!$C$105*(1-'Допущения'!$E$107),0)+MIN('Допущения'!$D$105,'Допущения'!$E$108)+MAX(0,'Допущения'!$D$105-'Допущения'!$E$108)*MIN(MAX(K6-1,0),3)/3)/'Допущения'!$E$7</f>
        <v/>
      </c>
      <c r="L57" s="21">
        <f>L51+('Допущения'!$C$105*'Допущения'!$E$107+IF(L6&gt;='Допущения'!$E$9,'Допущения'!$C$105*(1-'Допущения'!$E$107),0)+MIN('Допущения'!$D$105,'Допущения'!$E$108)+MAX(0,'Допущения'!$D$105-'Допущения'!$E$108)*MIN(MAX(L6-1,0),3)/3)/'Допущения'!$E$7</f>
        <v/>
      </c>
      <c r="M57" s="21">
        <f>M51+('Допущения'!$C$105*'Допущения'!$E$107+IF(M6&gt;='Допущения'!$E$9,'Допущения'!$C$105*(1-'Допущения'!$E$107),0)+MIN('Допущения'!$D$105,'Допущения'!$E$108)+MAX(0,'Допущения'!$D$105-'Допущения'!$E$108)*MIN(MAX(M6-1,0),3)/3)/'Допущения'!$E$7</f>
        <v/>
      </c>
      <c r="N57" s="21">
        <f>N51+('Допущения'!$C$105*'Допущения'!$E$107+IF(N6&gt;='Допущения'!$E$9,'Допущения'!$C$105*(1-'Допущения'!$E$107),0)+MIN('Допущения'!$D$105,'Допущения'!$E$108)+MAX(0,'Допущения'!$D$105-'Допущения'!$E$108)*MIN(MAX(N6-1,0),3)/3)/'Допущения'!$E$7</f>
        <v/>
      </c>
      <c r="O57" s="21">
        <f>O51+('Допущения'!$C$105*'Допущения'!$E$107+IF(O6&gt;='Допущения'!$E$9,'Допущения'!$C$105*(1-'Допущения'!$E$107),0)+MIN('Допущения'!$D$105,'Допущения'!$E$108)+MAX(0,'Допущения'!$D$105-'Допущения'!$E$108)*MIN(MAX(O6-1,0),3)/3)/'Допущения'!$E$7</f>
        <v/>
      </c>
      <c r="P57" s="21">
        <f>P51+('Допущения'!$C$105*'Допущения'!$E$107+IF(P6&gt;='Допущения'!$E$9,'Допущения'!$C$105*(1-'Допущения'!$E$107),0)+MIN('Допущения'!$D$105,'Допущения'!$E$108)+MAX(0,'Допущения'!$D$105-'Допущения'!$E$108)*MIN(MAX(P6-1,0),3)/3)/'Допущения'!$E$7</f>
        <v/>
      </c>
      <c r="Q57" s="21">
        <f>Q51+('Допущения'!$C$105*'Допущения'!$E$107+IF(Q6&gt;='Допущения'!$E$9,'Допущения'!$C$105*(1-'Допущения'!$E$107),0)+MIN('Допущения'!$D$105,'Допущения'!$E$108)+MAX(0,'Допущения'!$D$105-'Допущения'!$E$108)*MIN(MAX(Q6-1,0),3)/3)/'Допущения'!$E$7</f>
        <v/>
      </c>
      <c r="R57" s="21">
        <f>R51+('Допущения'!$C$105*'Допущения'!$E$107+IF(R6&gt;='Допущения'!$E$9,'Допущения'!$C$105*(1-'Допущения'!$E$107),0)+MIN('Допущения'!$D$105,'Допущения'!$E$108)+MAX(0,'Допущения'!$D$105-'Допущения'!$E$108)*MIN(MAX(R6-1,0),3)/3)/'Допущения'!$E$7</f>
        <v/>
      </c>
      <c r="S57" s="21">
        <f>S51+('Допущения'!$C$105*'Допущения'!$E$107+IF(S6&gt;='Допущения'!$E$9,'Допущения'!$C$105*(1-'Допущения'!$E$107),0)+MIN('Допущения'!$D$105,'Допущения'!$E$108)+MAX(0,'Допущения'!$D$105-'Допущения'!$E$108)*MIN(MAX(S6-1,0),3)/3)/'Допущения'!$E$7</f>
        <v/>
      </c>
      <c r="T57" s="21">
        <f>T51+('Допущения'!$C$105*'Допущения'!$E$107+IF(T6&gt;='Допущения'!$E$9,'Допущения'!$C$105*(1-'Допущения'!$E$107),0)+MIN('Допущения'!$D$105,'Допущения'!$E$108)+MAX(0,'Допущения'!$D$105-'Допущения'!$E$108)*MIN(MAX(T6-1,0),3)/3)/'Допущения'!$E$7</f>
        <v/>
      </c>
      <c r="U57" s="21">
        <f>U51+('Допущения'!$C$105*'Допущения'!$E$107+IF(U6&gt;='Допущения'!$E$9,'Допущения'!$C$105*(1-'Допущения'!$E$107),0)+MIN('Допущения'!$D$105,'Допущения'!$E$108)+MAX(0,'Допущения'!$D$105-'Допущения'!$E$108)*MIN(MAX(U6-1,0),3)/3)/'Допущения'!$E$7</f>
        <v/>
      </c>
      <c r="V57" s="21">
        <f>V51+('Допущения'!$C$105*'Допущения'!$E$107+IF(V6&gt;='Допущения'!$E$9,'Допущения'!$C$105*(1-'Допущения'!$E$107),0)+MIN('Допущения'!$D$105,'Допущения'!$E$108)+MAX(0,'Допущения'!$D$105-'Допущения'!$E$108)*MIN(MAX(V6-1,0),3)/3)/'Допущения'!$E$7</f>
        <v/>
      </c>
      <c r="W57" s="21">
        <f>W51+('Допущения'!$C$105*'Допущения'!$E$107+IF(W6&gt;='Допущения'!$E$9,'Допущения'!$C$105*(1-'Допущения'!$E$107),0)+MIN('Допущения'!$D$105,'Допущения'!$E$108)+MAX(0,'Допущения'!$D$105-'Допущения'!$E$108)*MIN(MAX(W6-1,0),3)/3)/'Допущения'!$E$7</f>
        <v/>
      </c>
      <c r="X57" s="21">
        <f>X51+('Допущения'!$C$105*'Допущения'!$E$107+IF(X6&gt;='Допущения'!$E$9,'Допущения'!$C$105*(1-'Допущения'!$E$107),0)+MIN('Допущения'!$D$105,'Допущения'!$E$108)+MAX(0,'Допущения'!$D$105-'Допущения'!$E$108)*MIN(MAX(X6-1,0),3)/3)/'Допущения'!$E$7</f>
        <v/>
      </c>
      <c r="Y57" s="21">
        <f>Y51+('Допущения'!$C$105*'Допущения'!$E$107+IF(Y6&gt;='Допущения'!$E$9,'Допущения'!$C$105*(1-'Допущения'!$E$107),0)+MIN('Допущения'!$D$105,'Допущения'!$E$108)+MAX(0,'Допущения'!$D$105-'Допущения'!$E$108)*MIN(MAX(Y6-1,0),3)/3)/'Допущения'!$E$7</f>
        <v/>
      </c>
      <c r="Z57" s="21">
        <f>Z51+('Допущения'!$C$105*'Допущения'!$E$107+IF(Z6&gt;='Допущения'!$E$9,'Допущения'!$C$105*(1-'Допущения'!$E$107),0)+MIN('Допущения'!$D$105,'Допущения'!$E$108)+MAX(0,'Допущения'!$D$105-'Допущения'!$E$108)*MIN(MAX(Z6-1,0),3)/3)/'Допущения'!$E$7</f>
        <v/>
      </c>
      <c r="AA57" s="21">
        <f>AA51+('Допущения'!$C$105*'Допущения'!$E$107+IF(AA6&gt;='Допущения'!$E$9,'Допущения'!$C$105*(1-'Допущения'!$E$107),0)+MIN('Допущения'!$D$105,'Допущения'!$E$108)+MAX(0,'Допущения'!$D$105-'Допущения'!$E$108)*MIN(MAX(AA6-1,0),3)/3)/'Допущения'!$E$7</f>
        <v/>
      </c>
      <c r="AB57" s="21">
        <f>AB51+('Допущения'!$C$105*'Допущения'!$E$107+IF(AB6&gt;='Допущения'!$E$9,'Допущения'!$C$105*(1-'Допущения'!$E$107),0)+MIN('Допущения'!$D$105,'Допущения'!$E$108)+MAX(0,'Допущения'!$D$105-'Допущения'!$E$108)*MIN(MAX(AB6-1,0),3)/3)/'Допущения'!$E$7</f>
        <v/>
      </c>
      <c r="AC57" s="21">
        <f>AC51+('Допущения'!$C$105*'Допущения'!$E$107+IF(AC6&gt;='Допущения'!$E$9,'Допущения'!$C$105*(1-'Допущения'!$E$107),0)+MIN('Допущения'!$D$105,'Допущения'!$E$108)+MAX(0,'Допущения'!$D$105-'Допущения'!$E$108)*MIN(MAX(AC6-1,0),3)/3)/'Допущения'!$E$7</f>
        <v/>
      </c>
      <c r="AD57" s="21">
        <f>AD51+('Допущения'!$C$105*'Допущения'!$E$107+IF(AD6&gt;='Допущения'!$E$9,'Допущения'!$C$105*(1-'Допущения'!$E$107),0)+MIN('Допущения'!$D$105,'Допущения'!$E$108)+MAX(0,'Допущения'!$D$105-'Допущения'!$E$108)*MIN(MAX(AD6-1,0),3)/3)/'Допущения'!$E$7</f>
        <v/>
      </c>
      <c r="AE57" s="21">
        <f>AE51+('Допущения'!$C$105*'Допущения'!$E$107+IF(AE6&gt;='Допущения'!$E$9,'Допущения'!$C$105*(1-'Допущения'!$E$107),0)+MIN('Допущения'!$D$105,'Допущения'!$E$108)+MAX(0,'Допущения'!$D$105-'Допущения'!$E$108)*MIN(MAX(AE6-1,0),3)/3)/'Допущения'!$E$7</f>
        <v/>
      </c>
      <c r="AF57" s="21">
        <f>AF51+('Допущения'!$C$105*'Допущения'!$E$107+IF(AF6&gt;='Допущения'!$E$9,'Допущения'!$C$105*(1-'Допущения'!$E$107),0)+MIN('Допущения'!$D$105,'Допущения'!$E$108)+MAX(0,'Допущения'!$D$105-'Допущения'!$E$108)*MIN(MAX(AF6-1,0),3)/3)/'Допущения'!$E$7</f>
        <v/>
      </c>
      <c r="AG57" s="21">
        <f>AG51+('Допущения'!$C$105*'Допущения'!$E$107+IF(AG6&gt;='Допущения'!$E$9,'Допущения'!$C$105*(1-'Допущения'!$E$107),0)+MIN('Допущения'!$D$105,'Допущения'!$E$108)+MAX(0,'Допущения'!$D$105-'Допущения'!$E$108)*MIN(MAX(AG6-1,0),3)/3)/'Допущения'!$E$7</f>
        <v/>
      </c>
      <c r="AH57" s="21">
        <f>AH51+('Допущения'!$C$105*'Допущения'!$E$107+IF(AH6&gt;='Допущения'!$E$9,'Допущения'!$C$105*(1-'Допущения'!$E$107),0)+MIN('Допущения'!$D$105,'Допущения'!$E$108)+MAX(0,'Допущения'!$D$105-'Допущения'!$E$108)*MIN(MAX(AH6-1,0),3)/3)/'Допущения'!$E$7</f>
        <v/>
      </c>
      <c r="AI57" s="21">
        <f>AI51+('Допущения'!$C$105*'Допущения'!$E$107+IF(AI6&gt;='Допущения'!$E$9,'Допущения'!$C$105*(1-'Допущения'!$E$107),0)+MIN('Допущения'!$D$105,'Допущения'!$E$108)+MAX(0,'Допущения'!$D$105-'Допущения'!$E$108)*MIN(MAX(AI6-1,0),3)/3)/'Допущения'!$E$7</f>
        <v/>
      </c>
      <c r="AJ57" s="21">
        <f>AJ51+('Допущения'!$C$105*'Допущения'!$E$107+IF(AJ6&gt;='Допущения'!$E$9,'Допущения'!$C$105*(1-'Допущения'!$E$107),0)+MIN('Допущения'!$D$105,'Допущения'!$E$108)+MAX(0,'Допущения'!$D$105-'Допущения'!$E$108)*MIN(MAX(AJ6-1,0),3)/3)/'Допущения'!$E$7</f>
        <v/>
      </c>
      <c r="AK57" s="21">
        <f>AK51+('Допущения'!$C$105*'Допущения'!$E$107+IF(AK6&gt;='Допущения'!$E$9,'Допущения'!$C$105*(1-'Допущения'!$E$107),0)+MIN('Допущения'!$D$105,'Допущения'!$E$108)+MAX(0,'Допущения'!$D$105-'Допущения'!$E$108)*MIN(MAX(AK6-1,0),3)/3)/'Допущения'!$E$7</f>
        <v/>
      </c>
      <c r="AL57" s="21">
        <f>AL51+('Допущения'!$C$105*'Допущения'!$E$107+IF(AL6&gt;='Допущения'!$E$9,'Допущения'!$C$105*(1-'Допущения'!$E$107),0)+MIN('Допущения'!$D$105,'Допущения'!$E$108)+MAX(0,'Допущения'!$D$105-'Допущения'!$E$108)*MIN(MAX(AL6-1,0),3)/3)/'Допущения'!$E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E$107+IF(C6&gt;='Допущения'!$E$9,'Допущения'!$C$106*(1-'Допущения'!$E$107),0)+MIN('Допущения'!$D$106,'Допущения'!$E$108)+MAX(0,'Допущения'!$D$106-'Допущения'!$E$108)*MIN(MAX(C6-1,0),3)/3)/'Допущения'!$E$7</f>
        <v/>
      </c>
      <c r="D58" s="21">
        <f>D51+('Допущения'!$C$106*'Допущения'!$E$107+IF(D6&gt;='Допущения'!$E$9,'Допущения'!$C$106*(1-'Допущения'!$E$107),0)+MIN('Допущения'!$D$106,'Допущения'!$E$108)+MAX(0,'Допущения'!$D$106-'Допущения'!$E$108)*MIN(MAX(D6-1,0),3)/3)/'Допущения'!$E$7</f>
        <v/>
      </c>
      <c r="E58" s="21">
        <f>E51+('Допущения'!$C$106*'Допущения'!$E$107+IF(E6&gt;='Допущения'!$E$9,'Допущения'!$C$106*(1-'Допущения'!$E$107),0)+MIN('Допущения'!$D$106,'Допущения'!$E$108)+MAX(0,'Допущения'!$D$106-'Допущения'!$E$108)*MIN(MAX(E6-1,0),3)/3)/'Допущения'!$E$7</f>
        <v/>
      </c>
      <c r="F58" s="21">
        <f>F51+('Допущения'!$C$106*'Допущения'!$E$107+IF(F6&gt;='Допущения'!$E$9,'Допущения'!$C$106*(1-'Допущения'!$E$107),0)+MIN('Допущения'!$D$106,'Допущения'!$E$108)+MAX(0,'Допущения'!$D$106-'Допущения'!$E$108)*MIN(MAX(F6-1,0),3)/3)/'Допущения'!$E$7</f>
        <v/>
      </c>
      <c r="G58" s="21">
        <f>G51+('Допущения'!$C$106*'Допущения'!$E$107+IF(G6&gt;='Допущения'!$E$9,'Допущения'!$C$106*(1-'Допущения'!$E$107),0)+MIN('Допущения'!$D$106,'Допущения'!$E$108)+MAX(0,'Допущения'!$D$106-'Допущения'!$E$108)*MIN(MAX(G6-1,0),3)/3)/'Допущения'!$E$7</f>
        <v/>
      </c>
      <c r="H58" s="21">
        <f>H51+('Допущения'!$C$106*'Допущения'!$E$107+IF(H6&gt;='Допущения'!$E$9,'Допущения'!$C$106*(1-'Допущения'!$E$107),0)+MIN('Допущения'!$D$106,'Допущения'!$E$108)+MAX(0,'Допущения'!$D$106-'Допущения'!$E$108)*MIN(MAX(H6-1,0),3)/3)/'Допущения'!$E$7</f>
        <v/>
      </c>
      <c r="I58" s="21">
        <f>I51+('Допущения'!$C$106*'Допущения'!$E$107+IF(I6&gt;='Допущения'!$E$9,'Допущения'!$C$106*(1-'Допущения'!$E$107),0)+MIN('Допущения'!$D$106,'Допущения'!$E$108)+MAX(0,'Допущения'!$D$106-'Допущения'!$E$108)*MIN(MAX(I6-1,0),3)/3)/'Допущения'!$E$7</f>
        <v/>
      </c>
      <c r="J58" s="21">
        <f>J51+('Допущения'!$C$106*'Допущения'!$E$107+IF(J6&gt;='Допущения'!$E$9,'Допущения'!$C$106*(1-'Допущения'!$E$107),0)+MIN('Допущения'!$D$106,'Допущения'!$E$108)+MAX(0,'Допущения'!$D$106-'Допущения'!$E$108)*MIN(MAX(J6-1,0),3)/3)/'Допущения'!$E$7</f>
        <v/>
      </c>
      <c r="K58" s="21">
        <f>K51+('Допущения'!$C$106*'Допущения'!$E$107+IF(K6&gt;='Допущения'!$E$9,'Допущения'!$C$106*(1-'Допущения'!$E$107),0)+MIN('Допущения'!$D$106,'Допущения'!$E$108)+MAX(0,'Допущения'!$D$106-'Допущения'!$E$108)*MIN(MAX(K6-1,0),3)/3)/'Допущения'!$E$7</f>
        <v/>
      </c>
      <c r="L58" s="21">
        <f>L51+('Допущения'!$C$106*'Допущения'!$E$107+IF(L6&gt;='Допущения'!$E$9,'Допущения'!$C$106*(1-'Допущения'!$E$107),0)+MIN('Допущения'!$D$106,'Допущения'!$E$108)+MAX(0,'Допущения'!$D$106-'Допущения'!$E$108)*MIN(MAX(L6-1,0),3)/3)/'Допущения'!$E$7</f>
        <v/>
      </c>
      <c r="M58" s="21">
        <f>M51+('Допущения'!$C$106*'Допущения'!$E$107+IF(M6&gt;='Допущения'!$E$9,'Допущения'!$C$106*(1-'Допущения'!$E$107),0)+MIN('Допущения'!$D$106,'Допущения'!$E$108)+MAX(0,'Допущения'!$D$106-'Допущения'!$E$108)*MIN(MAX(M6-1,0),3)/3)/'Допущения'!$E$7</f>
        <v/>
      </c>
      <c r="N58" s="21">
        <f>N51+('Допущения'!$C$106*'Допущения'!$E$107+IF(N6&gt;='Допущения'!$E$9,'Допущения'!$C$106*(1-'Допущения'!$E$107),0)+MIN('Допущения'!$D$106,'Допущения'!$E$108)+MAX(0,'Допущения'!$D$106-'Допущения'!$E$108)*MIN(MAX(N6-1,0),3)/3)/'Допущения'!$E$7</f>
        <v/>
      </c>
      <c r="O58" s="21">
        <f>O51+('Допущения'!$C$106*'Допущения'!$E$107+IF(O6&gt;='Допущения'!$E$9,'Допущения'!$C$106*(1-'Допущения'!$E$107),0)+MIN('Допущения'!$D$106,'Допущения'!$E$108)+MAX(0,'Допущения'!$D$106-'Допущения'!$E$108)*MIN(MAX(O6-1,0),3)/3)/'Допущения'!$E$7</f>
        <v/>
      </c>
      <c r="P58" s="21">
        <f>P51+('Допущения'!$C$106*'Допущения'!$E$107+IF(P6&gt;='Допущения'!$E$9,'Допущения'!$C$106*(1-'Допущения'!$E$107),0)+MIN('Допущения'!$D$106,'Допущения'!$E$108)+MAX(0,'Допущения'!$D$106-'Допущения'!$E$108)*MIN(MAX(P6-1,0),3)/3)/'Допущения'!$E$7</f>
        <v/>
      </c>
      <c r="Q58" s="21">
        <f>Q51+('Допущения'!$C$106*'Допущения'!$E$107+IF(Q6&gt;='Допущения'!$E$9,'Допущения'!$C$106*(1-'Допущения'!$E$107),0)+MIN('Допущения'!$D$106,'Допущения'!$E$108)+MAX(0,'Допущения'!$D$106-'Допущения'!$E$108)*MIN(MAX(Q6-1,0),3)/3)/'Допущения'!$E$7</f>
        <v/>
      </c>
      <c r="R58" s="21">
        <f>R51+('Допущения'!$C$106*'Допущения'!$E$107+IF(R6&gt;='Допущения'!$E$9,'Допущения'!$C$106*(1-'Допущения'!$E$107),0)+MIN('Допущения'!$D$106,'Допущения'!$E$108)+MAX(0,'Допущения'!$D$106-'Допущения'!$E$108)*MIN(MAX(R6-1,0),3)/3)/'Допущения'!$E$7</f>
        <v/>
      </c>
      <c r="S58" s="21">
        <f>S51+('Допущения'!$C$106*'Допущения'!$E$107+IF(S6&gt;='Допущения'!$E$9,'Допущения'!$C$106*(1-'Допущения'!$E$107),0)+MIN('Допущения'!$D$106,'Допущения'!$E$108)+MAX(0,'Допущения'!$D$106-'Допущения'!$E$108)*MIN(MAX(S6-1,0),3)/3)/'Допущения'!$E$7</f>
        <v/>
      </c>
      <c r="T58" s="21">
        <f>T51+('Допущения'!$C$106*'Допущения'!$E$107+IF(T6&gt;='Допущения'!$E$9,'Допущения'!$C$106*(1-'Допущения'!$E$107),0)+MIN('Допущения'!$D$106,'Допущения'!$E$108)+MAX(0,'Допущения'!$D$106-'Допущения'!$E$108)*MIN(MAX(T6-1,0),3)/3)/'Допущения'!$E$7</f>
        <v/>
      </c>
      <c r="U58" s="21">
        <f>U51+('Допущения'!$C$106*'Допущения'!$E$107+IF(U6&gt;='Допущения'!$E$9,'Допущения'!$C$106*(1-'Допущения'!$E$107),0)+MIN('Допущения'!$D$106,'Допущения'!$E$108)+MAX(0,'Допущения'!$D$106-'Допущения'!$E$108)*MIN(MAX(U6-1,0),3)/3)/'Допущения'!$E$7</f>
        <v/>
      </c>
      <c r="V58" s="21">
        <f>V51+('Допущения'!$C$106*'Допущения'!$E$107+IF(V6&gt;='Допущения'!$E$9,'Допущения'!$C$106*(1-'Допущения'!$E$107),0)+MIN('Допущения'!$D$106,'Допущения'!$E$108)+MAX(0,'Допущения'!$D$106-'Допущения'!$E$108)*MIN(MAX(V6-1,0),3)/3)/'Допущения'!$E$7</f>
        <v/>
      </c>
      <c r="W58" s="21">
        <f>W51+('Допущения'!$C$106*'Допущения'!$E$107+IF(W6&gt;='Допущения'!$E$9,'Допущения'!$C$106*(1-'Допущения'!$E$107),0)+MIN('Допущения'!$D$106,'Допущения'!$E$108)+MAX(0,'Допущения'!$D$106-'Допущения'!$E$108)*MIN(MAX(W6-1,0),3)/3)/'Допущения'!$E$7</f>
        <v/>
      </c>
      <c r="X58" s="21">
        <f>X51+('Допущения'!$C$106*'Допущения'!$E$107+IF(X6&gt;='Допущения'!$E$9,'Допущения'!$C$106*(1-'Допущения'!$E$107),0)+MIN('Допущения'!$D$106,'Допущения'!$E$108)+MAX(0,'Допущения'!$D$106-'Допущения'!$E$108)*MIN(MAX(X6-1,0),3)/3)/'Допущения'!$E$7</f>
        <v/>
      </c>
      <c r="Y58" s="21">
        <f>Y51+('Допущения'!$C$106*'Допущения'!$E$107+IF(Y6&gt;='Допущения'!$E$9,'Допущения'!$C$106*(1-'Допущения'!$E$107),0)+MIN('Допущения'!$D$106,'Допущения'!$E$108)+MAX(0,'Допущения'!$D$106-'Допущения'!$E$108)*MIN(MAX(Y6-1,0),3)/3)/'Допущения'!$E$7</f>
        <v/>
      </c>
      <c r="Z58" s="21">
        <f>Z51+('Допущения'!$C$106*'Допущения'!$E$107+IF(Z6&gt;='Допущения'!$E$9,'Допущения'!$C$106*(1-'Допущения'!$E$107),0)+MIN('Допущения'!$D$106,'Допущения'!$E$108)+MAX(0,'Допущения'!$D$106-'Допущения'!$E$108)*MIN(MAX(Z6-1,0),3)/3)/'Допущения'!$E$7</f>
        <v/>
      </c>
      <c r="AA58" s="21">
        <f>AA51+('Допущения'!$C$106*'Допущения'!$E$107+IF(AA6&gt;='Допущения'!$E$9,'Допущения'!$C$106*(1-'Допущения'!$E$107),0)+MIN('Допущения'!$D$106,'Допущения'!$E$108)+MAX(0,'Допущения'!$D$106-'Допущения'!$E$108)*MIN(MAX(AA6-1,0),3)/3)/'Допущения'!$E$7</f>
        <v/>
      </c>
      <c r="AB58" s="21">
        <f>AB51+('Допущения'!$C$106*'Допущения'!$E$107+IF(AB6&gt;='Допущения'!$E$9,'Допущения'!$C$106*(1-'Допущения'!$E$107),0)+MIN('Допущения'!$D$106,'Допущения'!$E$108)+MAX(0,'Допущения'!$D$106-'Допущения'!$E$108)*MIN(MAX(AB6-1,0),3)/3)/'Допущения'!$E$7</f>
        <v/>
      </c>
      <c r="AC58" s="21">
        <f>AC51+('Допущения'!$C$106*'Допущения'!$E$107+IF(AC6&gt;='Допущения'!$E$9,'Допущения'!$C$106*(1-'Допущения'!$E$107),0)+MIN('Допущения'!$D$106,'Допущения'!$E$108)+MAX(0,'Допущения'!$D$106-'Допущения'!$E$108)*MIN(MAX(AC6-1,0),3)/3)/'Допущения'!$E$7</f>
        <v/>
      </c>
      <c r="AD58" s="21">
        <f>AD51+('Допущения'!$C$106*'Допущения'!$E$107+IF(AD6&gt;='Допущения'!$E$9,'Допущения'!$C$106*(1-'Допущения'!$E$107),0)+MIN('Допущения'!$D$106,'Допущения'!$E$108)+MAX(0,'Допущения'!$D$106-'Допущения'!$E$108)*MIN(MAX(AD6-1,0),3)/3)/'Допущения'!$E$7</f>
        <v/>
      </c>
      <c r="AE58" s="21">
        <f>AE51+('Допущения'!$C$106*'Допущения'!$E$107+IF(AE6&gt;='Допущения'!$E$9,'Допущения'!$C$106*(1-'Допущения'!$E$107),0)+MIN('Допущения'!$D$106,'Допущения'!$E$108)+MAX(0,'Допущения'!$D$106-'Допущения'!$E$108)*MIN(MAX(AE6-1,0),3)/3)/'Допущения'!$E$7</f>
        <v/>
      </c>
      <c r="AF58" s="21">
        <f>AF51+('Допущения'!$C$106*'Допущения'!$E$107+IF(AF6&gt;='Допущения'!$E$9,'Допущения'!$C$106*(1-'Допущения'!$E$107),0)+MIN('Допущения'!$D$106,'Допущения'!$E$108)+MAX(0,'Допущения'!$D$106-'Допущения'!$E$108)*MIN(MAX(AF6-1,0),3)/3)/'Допущения'!$E$7</f>
        <v/>
      </c>
      <c r="AG58" s="21">
        <f>AG51+('Допущения'!$C$106*'Допущения'!$E$107+IF(AG6&gt;='Допущения'!$E$9,'Допущения'!$C$106*(1-'Допущения'!$E$107),0)+MIN('Допущения'!$D$106,'Допущения'!$E$108)+MAX(0,'Допущения'!$D$106-'Допущения'!$E$108)*MIN(MAX(AG6-1,0),3)/3)/'Допущения'!$E$7</f>
        <v/>
      </c>
      <c r="AH58" s="21">
        <f>AH51+('Допущения'!$C$106*'Допущения'!$E$107+IF(AH6&gt;='Допущения'!$E$9,'Допущения'!$C$106*(1-'Допущения'!$E$107),0)+MIN('Допущения'!$D$106,'Допущения'!$E$108)+MAX(0,'Допущения'!$D$106-'Допущения'!$E$108)*MIN(MAX(AH6-1,0),3)/3)/'Допущения'!$E$7</f>
        <v/>
      </c>
      <c r="AI58" s="21">
        <f>AI51+('Допущения'!$C$106*'Допущения'!$E$107+IF(AI6&gt;='Допущения'!$E$9,'Допущения'!$C$106*(1-'Допущения'!$E$107),0)+MIN('Допущения'!$D$106,'Допущения'!$E$108)+MAX(0,'Допущения'!$D$106-'Допущения'!$E$108)*MIN(MAX(AI6-1,0),3)/3)/'Допущения'!$E$7</f>
        <v/>
      </c>
      <c r="AJ58" s="21">
        <f>AJ51+('Допущения'!$C$106*'Допущения'!$E$107+IF(AJ6&gt;='Допущения'!$E$9,'Допущения'!$C$106*(1-'Допущения'!$E$107),0)+MIN('Допущения'!$D$106,'Допущения'!$E$108)+MAX(0,'Допущения'!$D$106-'Допущения'!$E$108)*MIN(MAX(AJ6-1,0),3)/3)/'Допущения'!$E$7</f>
        <v/>
      </c>
      <c r="AK58" s="21">
        <f>AK51+('Допущения'!$C$106*'Допущения'!$E$107+IF(AK6&gt;='Допущения'!$E$9,'Допущения'!$C$106*(1-'Допущения'!$E$107),0)+MIN('Допущения'!$D$106,'Допущения'!$E$108)+MAX(0,'Допущения'!$D$106-'Допущения'!$E$108)*MIN(MAX(AK6-1,0),3)/3)/'Допущения'!$E$7</f>
        <v/>
      </c>
      <c r="AL58" s="21">
        <f>AL51+('Допущения'!$C$106*'Допущения'!$E$107+IF(AL6&gt;='Допущения'!$E$9,'Допущения'!$C$106*(1-'Допущения'!$E$107),0)+MIN('Допущения'!$D$106,'Допущения'!$E$108)+MAX(0,'Допущения'!$D$106-'Допущения'!$E$108)*MIN(MAX(AL6-1,0),3)/3)/'Допущения'!$E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AL50+AL60*12*'Допущения'!$E$100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-MIN($C$51:$AL$51)*'Допущения'!$E$7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'Себестоимость'!$E$13*'Себестоимость'!$E$15/'Допущения'!$E$69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NPV((1+'Допущения'!$E$99)^(1/12)-1,$C$65:$AL$65)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SUMIF($C$6:$AL$6,"&lt;="&amp;'Допущения'!$E$9,$C$34:$AL$34)+SUMIF($C$6:$AL$6,"&lt;="&amp;'Допущения'!$E$9,$C$47:$AL$47)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Анализ чувствительности (базовый сценарий): параметр ±Δ, остальное без изменений</t>
        </is>
      </c>
    </row>
    <row r="2"/>
    <row r="3">
      <c r="A3" s="36" t="inlineStr">
        <is>
          <t>Δ, изменение параметра</t>
        </is>
      </c>
      <c r="B3" s="56" t="n">
        <v>0.2</v>
      </c>
    </row>
    <row r="4"/>
    <row r="5" ht="44" customHeight="1">
      <c r="A5" s="57" t="inlineStr">
        <is>
          <t>Параметр</t>
        </is>
      </c>
      <c r="B5" s="57" t="inlineStr">
        <is>
          <t>NPV при −Δ, $</t>
        </is>
      </c>
      <c r="C5" s="57" t="inlineStr">
        <is>
          <t>NPV при +Δ, $</t>
        </is>
      </c>
      <c r="D5" s="57" t="inlineStr">
        <is>
          <t>Размах NPV, $</t>
        </is>
      </c>
      <c r="E5" s="57" t="inlineStr">
        <is>
          <t>Мин. касса (вар. 2) при −Δ</t>
        </is>
      </c>
      <c r="F5" s="57" t="inlineStr">
        <is>
          <t>Мин. касса (вар. 2) при +Δ</t>
        </is>
      </c>
      <c r="G5" s="57" t="inlineStr">
        <is>
          <t>Безубыточность при −Δ (мес.)</t>
        </is>
      </c>
      <c r="H5" s="57" t="inlineStr">
        <is>
          <t>Безубыточность при +Δ (мес.)</t>
        </is>
      </c>
    </row>
    <row r="6">
      <c r="A6" s="6" t="inlineStr">
        <is>
          <t>CPI</t>
        </is>
      </c>
      <c r="B6" s="29">
        <f>'S_cpim'!$B$93</f>
        <v/>
      </c>
      <c r="C6" s="29">
        <f>'S_cpip'!$B$93</f>
        <v/>
      </c>
      <c r="D6" s="21">
        <f>ABS(C6-B6)</f>
        <v/>
      </c>
      <c r="E6" s="29">
        <f>'S_cpim'!$B$97</f>
        <v/>
      </c>
      <c r="F6" s="29">
        <f>'S_cpip'!$B$97</f>
        <v/>
      </c>
      <c r="G6" s="27">
        <f>'S_cpim'!$B$69</f>
        <v/>
      </c>
      <c r="H6" s="27">
        <f>'S_cpip'!$B$69</f>
        <v/>
      </c>
    </row>
    <row r="7">
      <c r="A7" s="6" t="inlineStr">
        <is>
          <t>Конверсия в платящего</t>
        </is>
      </c>
      <c r="B7" s="29">
        <f>'S_conv_newm'!$B$93</f>
        <v/>
      </c>
      <c r="C7" s="29">
        <f>'S_conv_newp'!$B$93</f>
        <v/>
      </c>
      <c r="D7" s="21">
        <f>ABS(C7-B7)</f>
        <v/>
      </c>
      <c r="E7" s="29">
        <f>'S_conv_newm'!$B$97</f>
        <v/>
      </c>
      <c r="F7" s="29">
        <f>'S_conv_newp'!$B$97</f>
        <v/>
      </c>
      <c r="G7" s="27">
        <f>'S_conv_newm'!$B$69</f>
        <v/>
      </c>
      <c r="H7" s="27">
        <f>'S_conv_newp'!$B$69</f>
        <v/>
      </c>
    </row>
    <row r="8">
      <c r="A8" s="6" t="inlineStr">
        <is>
          <t>Отток платящих</t>
        </is>
      </c>
      <c r="B8" s="29">
        <f>'S_churnm'!$B$93</f>
        <v/>
      </c>
      <c r="C8" s="29">
        <f>'S_churnp'!$B$93</f>
        <v/>
      </c>
      <c r="D8" s="21">
        <f>ABS(C8-B8)</f>
        <v/>
      </c>
      <c r="E8" s="29">
        <f>'S_churnm'!$B$97</f>
        <v/>
      </c>
      <c r="F8" s="29">
        <f>'S_churnp'!$B$97</f>
        <v/>
      </c>
      <c r="G8" s="27">
        <f>'S_churnm'!$B$69</f>
        <v/>
      </c>
      <c r="H8" s="27">
        <f>'S_churnp'!$B$69</f>
        <v/>
      </c>
    </row>
    <row r="9">
      <c r="A9" s="6" t="inlineStr">
        <is>
          <t>Цена подписок (ARPPU)</t>
        </is>
      </c>
      <c r="B9" s="29">
        <f>'S_arppum'!$B$93</f>
        <v/>
      </c>
      <c r="C9" s="29">
        <f>'S_arppup'!$B$93</f>
        <v/>
      </c>
      <c r="D9" s="21">
        <f>ABS(C9-B9)</f>
        <v/>
      </c>
      <c r="E9" s="29">
        <f>'S_arppum'!$B$97</f>
        <v/>
      </c>
      <c r="F9" s="29">
        <f>'S_arppup'!$B$97</f>
        <v/>
      </c>
      <c r="G9" s="27">
        <f>'S_arppum'!$B$69</f>
        <v/>
      </c>
      <c r="H9" s="27">
        <f>'S_arppup'!$B$69</f>
        <v/>
      </c>
    </row>
    <row r="10">
      <c r="A10" s="6" t="inlineStr">
        <is>
          <t>Себестоимость хода</t>
        </is>
      </c>
      <c r="B10" s="29">
        <f>'S_c_hm'!$B$93</f>
        <v/>
      </c>
      <c r="C10" s="29">
        <f>'S_c_hp'!$B$93</f>
        <v/>
      </c>
      <c r="D10" s="21">
        <f>ABS(C10-B10)</f>
        <v/>
      </c>
      <c r="E10" s="29">
        <f>'S_c_hm'!$B$97</f>
        <v/>
      </c>
      <c r="F10" s="29">
        <f>'S_c_hp'!$B$97</f>
        <v/>
      </c>
      <c r="G10" s="27">
        <f>'S_c_hm'!$B$69</f>
        <v/>
      </c>
      <c r="H10" s="27">
        <f>'S_c_hp'!$B$69</f>
        <v/>
      </c>
    </row>
    <row r="11">
      <c r="A11" s="6" t="inlineStr">
        <is>
          <t>Органика на старте</t>
        </is>
      </c>
      <c r="B11" s="29">
        <f>'S_org0m'!$B$93</f>
        <v/>
      </c>
      <c r="C11" s="29">
        <f>'S_org0p'!$B$93</f>
        <v/>
      </c>
      <c r="D11" s="21">
        <f>ABS(C11-B11)</f>
        <v/>
      </c>
      <c r="E11" s="29">
        <f>'S_org0m'!$B$97</f>
        <v/>
      </c>
      <c r="F11" s="29">
        <f>'S_org0p'!$B$97</f>
        <v/>
      </c>
      <c r="G11" s="27">
        <f>'S_org0m'!$B$69</f>
        <v/>
      </c>
      <c r="H11" s="27">
        <f>'S_org0p'!$B$69</f>
        <v/>
      </c>
    </row>
    <row r="12"/>
    <row r="13">
      <c r="A13" s="35" t="inlineStr">
        <is>
          <t>Базовый NPV, $</t>
        </is>
      </c>
      <c r="B13" s="29">
        <f>'Модель_Б'!$B$93</f>
        <v/>
      </c>
    </row>
    <row r="14">
      <c r="A14" s="43" t="inlineStr">
        <is>
          <t>Размах показывает, какие допущения сильнее всего двигают оценку: их проверяем первыми на прототипе (конверсия, отток) и в первых рекламных тестах (CPI).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IF(C9=1,C11/('Допущения'!$D$60*(1-'Чувствительность'!$B$3)),0)</f>
        <v/>
      </c>
      <c r="D12" s="14">
        <f>IF(D9=1,D11/('Допущения'!$D$60*(1-'Чувствительность'!$B$3)),0)</f>
        <v/>
      </c>
      <c r="E12" s="14">
        <f>IF(E9=1,E11/('Допущения'!$D$60*(1-'Чувствительность'!$B$3)),0)</f>
        <v/>
      </c>
      <c r="F12" s="14">
        <f>IF(F9=1,F11/('Допущения'!$D$60*(1-'Чувствительность'!$B$3)),0)</f>
        <v/>
      </c>
      <c r="G12" s="14">
        <f>IF(G9=1,G11/('Допущения'!$D$60*(1-'Чувствительность'!$B$3)),0)</f>
        <v/>
      </c>
      <c r="H12" s="14">
        <f>IF(H9=1,H11/('Допущения'!$D$60*(1-'Чувствительность'!$B$3)),0)</f>
        <v/>
      </c>
      <c r="I12" s="14">
        <f>IF(I9=1,I11/('Допущения'!$D$60*(1-'Чувствительность'!$B$3)),0)</f>
        <v/>
      </c>
      <c r="J12" s="14">
        <f>IF(J9=1,J11/('Допущения'!$D$60*(1-'Чувствительность'!$B$3)),0)</f>
        <v/>
      </c>
      <c r="K12" s="14">
        <f>IF(K9=1,K11/('Допущения'!$D$60*(1-'Чувствительность'!$B$3)),0)</f>
        <v/>
      </c>
      <c r="L12" s="14">
        <f>IF(L9=1,L11/('Допущения'!$D$60*(1-'Чувствительность'!$B$3)),0)</f>
        <v/>
      </c>
      <c r="M12" s="14">
        <f>IF(M9=1,M11/('Допущения'!$D$60*(1-'Чувствительность'!$B$3)),0)</f>
        <v/>
      </c>
      <c r="N12" s="14">
        <f>IF(N9=1,N11/('Допущения'!$D$60*(1-'Чувствительность'!$B$3)),0)</f>
        <v/>
      </c>
      <c r="O12" s="14">
        <f>IF(O9=1,O11/('Допущения'!$D$60*(1-'Чувствительность'!$B$3)),0)</f>
        <v/>
      </c>
      <c r="P12" s="14">
        <f>IF(P9=1,P11/('Допущения'!$D$60*(1-'Чувствительность'!$B$3)),0)</f>
        <v/>
      </c>
      <c r="Q12" s="14">
        <f>IF(Q9=1,Q11/('Допущения'!$D$60*(1-'Чувствительность'!$B$3)),0)</f>
        <v/>
      </c>
      <c r="R12" s="14">
        <f>IF(R9=1,R11/('Допущения'!$D$60*(1-'Чувствительность'!$B$3)),0)</f>
        <v/>
      </c>
      <c r="S12" s="14">
        <f>IF(S9=1,S11/('Допущения'!$D$60*(1-'Чувствительность'!$B$3)),0)</f>
        <v/>
      </c>
      <c r="T12" s="14">
        <f>IF(T9=1,T11/('Допущения'!$D$60*(1-'Чувствительность'!$B$3)),0)</f>
        <v/>
      </c>
      <c r="U12" s="14">
        <f>IF(U9=1,U11/('Допущения'!$D$60*(1-'Чувствительность'!$B$3)),0)</f>
        <v/>
      </c>
      <c r="V12" s="14">
        <f>IF(V9=1,V11/('Допущения'!$D$60*(1-'Чувствительность'!$B$3)),0)</f>
        <v/>
      </c>
      <c r="W12" s="14">
        <f>IF(W9=1,W11/('Допущения'!$D$60*(1-'Чувствительность'!$B$3)),0)</f>
        <v/>
      </c>
      <c r="X12" s="14">
        <f>IF(X9=1,X11/('Допущения'!$D$60*(1-'Чувствительность'!$B$3)),0)</f>
        <v/>
      </c>
      <c r="Y12" s="14">
        <f>IF(Y9=1,Y11/('Допущения'!$D$60*(1-'Чувствительность'!$B$3)),0)</f>
        <v/>
      </c>
      <c r="Z12" s="14">
        <f>IF(Z9=1,Z11/('Допущения'!$D$60*(1-'Чувствительность'!$B$3)),0)</f>
        <v/>
      </c>
      <c r="AA12" s="14">
        <f>IF(AA9=1,AA11/('Допущения'!$D$60*(1-'Чувствительность'!$B$3)),0)</f>
        <v/>
      </c>
      <c r="AB12" s="14">
        <f>IF(AB9=1,AB11/('Допущения'!$D$60*(1-'Чувствительность'!$B$3)),0)</f>
        <v/>
      </c>
      <c r="AC12" s="14">
        <f>IF(AC9=1,AC11/('Допущения'!$D$60*(1-'Чувствительность'!$B$3)),0)</f>
        <v/>
      </c>
      <c r="AD12" s="14">
        <f>IF(AD9=1,AD11/('Допущения'!$D$60*(1-'Чувствительность'!$B$3)),0)</f>
        <v/>
      </c>
      <c r="AE12" s="14">
        <f>IF(AE9=1,AE11/('Допущения'!$D$60*(1-'Чувствительность'!$B$3)),0)</f>
        <v/>
      </c>
      <c r="AF12" s="14">
        <f>IF(AF9=1,AF11/('Допущения'!$D$60*(1-'Чувствительность'!$B$3)),0)</f>
        <v/>
      </c>
      <c r="AG12" s="14">
        <f>IF(AG9=1,AG11/('Допущения'!$D$60*(1-'Чувствительность'!$B$3)),0)</f>
        <v/>
      </c>
      <c r="AH12" s="14">
        <f>IF(AH9=1,AH11/('Допущения'!$D$60*(1-'Чувствительность'!$B$3)),0)</f>
        <v/>
      </c>
      <c r="AI12" s="14">
        <f>IF(AI9=1,AI11/('Допущения'!$D$60*(1-'Чувствительность'!$B$3)),0)</f>
        <v/>
      </c>
      <c r="AJ12" s="14">
        <f>IF(AJ9=1,AJ11/('Допущения'!$D$60*(1-'Чувствительность'!$B$3)),0)</f>
        <v/>
      </c>
      <c r="AK12" s="14">
        <f>IF(AK9=1,AK11/('Допущения'!$D$60*(1-'Чувствительность'!$B$3)),0)</f>
        <v/>
      </c>
      <c r="AL12" s="14">
        <f>IF(AL9=1,AL11/('Допущения'!$D$60*(1-'Чувствительность'!$B$3)),0)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IF(C9=1,C11/('Допущения'!$D$60*(1+'Чувствительность'!$B$3)),0)</f>
        <v/>
      </c>
      <c r="D12" s="14">
        <f>IF(D9=1,D11/('Допущения'!$D$60*(1+'Чувствительность'!$B$3)),0)</f>
        <v/>
      </c>
      <c r="E12" s="14">
        <f>IF(E9=1,E11/('Допущения'!$D$60*(1+'Чувствительность'!$B$3)),0)</f>
        <v/>
      </c>
      <c r="F12" s="14">
        <f>IF(F9=1,F11/('Допущения'!$D$60*(1+'Чувствительность'!$B$3)),0)</f>
        <v/>
      </c>
      <c r="G12" s="14">
        <f>IF(G9=1,G11/('Допущения'!$D$60*(1+'Чувствительность'!$B$3)),0)</f>
        <v/>
      </c>
      <c r="H12" s="14">
        <f>IF(H9=1,H11/('Допущения'!$D$60*(1+'Чувствительность'!$B$3)),0)</f>
        <v/>
      </c>
      <c r="I12" s="14">
        <f>IF(I9=1,I11/('Допущения'!$D$60*(1+'Чувствительность'!$B$3)),0)</f>
        <v/>
      </c>
      <c r="J12" s="14">
        <f>IF(J9=1,J11/('Допущения'!$D$60*(1+'Чувствительность'!$B$3)),0)</f>
        <v/>
      </c>
      <c r="K12" s="14">
        <f>IF(K9=1,K11/('Допущения'!$D$60*(1+'Чувствительность'!$B$3)),0)</f>
        <v/>
      </c>
      <c r="L12" s="14">
        <f>IF(L9=1,L11/('Допущения'!$D$60*(1+'Чувствительность'!$B$3)),0)</f>
        <v/>
      </c>
      <c r="M12" s="14">
        <f>IF(M9=1,M11/('Допущения'!$D$60*(1+'Чувствительность'!$B$3)),0)</f>
        <v/>
      </c>
      <c r="N12" s="14">
        <f>IF(N9=1,N11/('Допущения'!$D$60*(1+'Чувствительность'!$B$3)),0)</f>
        <v/>
      </c>
      <c r="O12" s="14">
        <f>IF(O9=1,O11/('Допущения'!$D$60*(1+'Чувствительность'!$B$3)),0)</f>
        <v/>
      </c>
      <c r="P12" s="14">
        <f>IF(P9=1,P11/('Допущения'!$D$60*(1+'Чувствительность'!$B$3)),0)</f>
        <v/>
      </c>
      <c r="Q12" s="14">
        <f>IF(Q9=1,Q11/('Допущения'!$D$60*(1+'Чувствительность'!$B$3)),0)</f>
        <v/>
      </c>
      <c r="R12" s="14">
        <f>IF(R9=1,R11/('Допущения'!$D$60*(1+'Чувствительность'!$B$3)),0)</f>
        <v/>
      </c>
      <c r="S12" s="14">
        <f>IF(S9=1,S11/('Допущения'!$D$60*(1+'Чувствительность'!$B$3)),0)</f>
        <v/>
      </c>
      <c r="T12" s="14">
        <f>IF(T9=1,T11/('Допущения'!$D$60*(1+'Чувствительность'!$B$3)),0)</f>
        <v/>
      </c>
      <c r="U12" s="14">
        <f>IF(U9=1,U11/('Допущения'!$D$60*(1+'Чувствительность'!$B$3)),0)</f>
        <v/>
      </c>
      <c r="V12" s="14">
        <f>IF(V9=1,V11/('Допущения'!$D$60*(1+'Чувствительность'!$B$3)),0)</f>
        <v/>
      </c>
      <c r="W12" s="14">
        <f>IF(W9=1,W11/('Допущения'!$D$60*(1+'Чувствительность'!$B$3)),0)</f>
        <v/>
      </c>
      <c r="X12" s="14">
        <f>IF(X9=1,X11/('Допущения'!$D$60*(1+'Чувствительность'!$B$3)),0)</f>
        <v/>
      </c>
      <c r="Y12" s="14">
        <f>IF(Y9=1,Y11/('Допущения'!$D$60*(1+'Чувствительность'!$B$3)),0)</f>
        <v/>
      </c>
      <c r="Z12" s="14">
        <f>IF(Z9=1,Z11/('Допущения'!$D$60*(1+'Чувствительность'!$B$3)),0)</f>
        <v/>
      </c>
      <c r="AA12" s="14">
        <f>IF(AA9=1,AA11/('Допущения'!$D$60*(1+'Чувствительность'!$B$3)),0)</f>
        <v/>
      </c>
      <c r="AB12" s="14">
        <f>IF(AB9=1,AB11/('Допущения'!$D$60*(1+'Чувствительность'!$B$3)),0)</f>
        <v/>
      </c>
      <c r="AC12" s="14">
        <f>IF(AC9=1,AC11/('Допущения'!$D$60*(1+'Чувствительность'!$B$3)),0)</f>
        <v/>
      </c>
      <c r="AD12" s="14">
        <f>IF(AD9=1,AD11/('Допущения'!$D$60*(1+'Чувствительность'!$B$3)),0)</f>
        <v/>
      </c>
      <c r="AE12" s="14">
        <f>IF(AE9=1,AE11/('Допущения'!$D$60*(1+'Чувствительность'!$B$3)),0)</f>
        <v/>
      </c>
      <c r="AF12" s="14">
        <f>IF(AF9=1,AF11/('Допущения'!$D$60*(1+'Чувствительность'!$B$3)),0)</f>
        <v/>
      </c>
      <c r="AG12" s="14">
        <f>IF(AG9=1,AG11/('Допущения'!$D$60*(1+'Чувствительность'!$B$3)),0)</f>
        <v/>
      </c>
      <c r="AH12" s="14">
        <f>IF(AH9=1,AH11/('Допущения'!$D$60*(1+'Чувствительность'!$B$3)),0)</f>
        <v/>
      </c>
      <c r="AI12" s="14">
        <f>IF(AI9=1,AI11/('Допущения'!$D$60*(1+'Чувствительность'!$B$3)),0)</f>
        <v/>
      </c>
      <c r="AJ12" s="14">
        <f>IF(AJ9=1,AJ11/('Допущения'!$D$60*(1+'Чувствительность'!$B$3)),0)</f>
        <v/>
      </c>
      <c r="AK12" s="14">
        <f>IF(AK9=1,AK11/('Допущения'!$D$60*(1+'Чувствительность'!$B$3)),0)</f>
        <v/>
      </c>
      <c r="AL12" s="14">
        <f>IF(AL9=1,AL11/('Допущения'!$D$60*(1+'Чувствительность'!$B$3)),0)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IF(C9=1,0*(1-'Допущения'!$D$68)*'Допущения'!$D$66+C16*(1-('Допущения'!$D$67*(1-'Чувствительность'!$B$3))),0)</f>
        <v/>
      </c>
      <c r="D18" s="14">
        <f>IF(D9=1,C18*(1-'Допущения'!$D$68)*'Допущения'!$D$66+D16*(1-('Допущения'!$D$67*(1-'Чувствительность'!$B$3))),0)</f>
        <v/>
      </c>
      <c r="E18" s="14">
        <f>IF(E9=1,D18*(1-'Допущения'!$D$68)*'Допущения'!$D$66+E16*(1-('Допущения'!$D$67*(1-'Чувствительность'!$B$3))),0)</f>
        <v/>
      </c>
      <c r="F18" s="14">
        <f>IF(F9=1,E18*(1-'Допущения'!$D$68)*'Допущения'!$D$66+F16*(1-('Допущения'!$D$67*(1-'Чувствительность'!$B$3))),0)</f>
        <v/>
      </c>
      <c r="G18" s="14">
        <f>IF(G9=1,F18*(1-'Допущения'!$D$68)*'Допущения'!$D$66+G16*(1-('Допущения'!$D$67*(1-'Чувствительность'!$B$3))),0)</f>
        <v/>
      </c>
      <c r="H18" s="14">
        <f>IF(H9=1,G18*(1-'Допущения'!$D$68)*'Допущения'!$D$66+H16*(1-('Допущения'!$D$67*(1-'Чувствительность'!$B$3))),0)</f>
        <v/>
      </c>
      <c r="I18" s="14">
        <f>IF(I9=1,H18*(1-'Допущения'!$D$68)*'Допущения'!$D$66+I16*(1-('Допущения'!$D$67*(1-'Чувствительность'!$B$3))),0)</f>
        <v/>
      </c>
      <c r="J18" s="14">
        <f>IF(J9=1,I18*(1-'Допущения'!$D$68)*'Допущения'!$D$66+J16*(1-('Допущения'!$D$67*(1-'Чувствительность'!$B$3))),0)</f>
        <v/>
      </c>
      <c r="K18" s="14">
        <f>IF(K9=1,J18*(1-'Допущения'!$D$68)*'Допущения'!$D$66+K16*(1-('Допущения'!$D$67*(1-'Чувствительность'!$B$3))),0)</f>
        <v/>
      </c>
      <c r="L18" s="14">
        <f>IF(L9=1,K18*(1-'Допущения'!$D$68)*'Допущения'!$D$66+L16*(1-('Допущения'!$D$67*(1-'Чувствительность'!$B$3))),0)</f>
        <v/>
      </c>
      <c r="M18" s="14">
        <f>IF(M9=1,L18*(1-'Допущения'!$D$68)*'Допущения'!$D$66+M16*(1-('Допущения'!$D$67*(1-'Чувствительность'!$B$3))),0)</f>
        <v/>
      </c>
      <c r="N18" s="14">
        <f>IF(N9=1,M18*(1-'Допущения'!$D$68)*'Допущения'!$D$66+N16*(1-('Допущения'!$D$67*(1-'Чувствительность'!$B$3))),0)</f>
        <v/>
      </c>
      <c r="O18" s="14">
        <f>IF(O9=1,N18*(1-'Допущения'!$D$68)*'Допущения'!$D$66+O16*(1-('Допущения'!$D$67*(1-'Чувствительность'!$B$3))),0)</f>
        <v/>
      </c>
      <c r="P18" s="14">
        <f>IF(P9=1,O18*(1-'Допущения'!$D$68)*'Допущения'!$D$66+P16*(1-('Допущения'!$D$67*(1-'Чувствительность'!$B$3))),0)</f>
        <v/>
      </c>
      <c r="Q18" s="14">
        <f>IF(Q9=1,P18*(1-'Допущения'!$D$68)*'Допущения'!$D$66+Q16*(1-('Допущения'!$D$67*(1-'Чувствительность'!$B$3))),0)</f>
        <v/>
      </c>
      <c r="R18" s="14">
        <f>IF(R9=1,Q18*(1-'Допущения'!$D$68)*'Допущения'!$D$66+R16*(1-('Допущения'!$D$67*(1-'Чувствительность'!$B$3))),0)</f>
        <v/>
      </c>
      <c r="S18" s="14">
        <f>IF(S9=1,R18*(1-'Допущения'!$D$68)*'Допущения'!$D$66+S16*(1-('Допущения'!$D$67*(1-'Чувствительность'!$B$3))),0)</f>
        <v/>
      </c>
      <c r="T18" s="14">
        <f>IF(T9=1,S18*(1-'Допущения'!$D$68)*'Допущения'!$D$66+T16*(1-('Допущения'!$D$67*(1-'Чувствительность'!$B$3))),0)</f>
        <v/>
      </c>
      <c r="U18" s="14">
        <f>IF(U9=1,T18*(1-'Допущения'!$D$68)*'Допущения'!$D$66+U16*(1-('Допущения'!$D$67*(1-'Чувствительность'!$B$3))),0)</f>
        <v/>
      </c>
      <c r="V18" s="14">
        <f>IF(V9=1,U18*(1-'Допущения'!$D$68)*'Допущения'!$D$66+V16*(1-('Допущения'!$D$67*(1-'Чувствительность'!$B$3))),0)</f>
        <v/>
      </c>
      <c r="W18" s="14">
        <f>IF(W9=1,V18*(1-'Допущения'!$D$68)*'Допущения'!$D$66+W16*(1-('Допущения'!$D$67*(1-'Чувствительность'!$B$3))),0)</f>
        <v/>
      </c>
      <c r="X18" s="14">
        <f>IF(X9=1,W18*(1-'Допущения'!$D$68)*'Допущения'!$D$66+X16*(1-('Допущения'!$D$67*(1-'Чувствительность'!$B$3))),0)</f>
        <v/>
      </c>
      <c r="Y18" s="14">
        <f>IF(Y9=1,X18*(1-'Допущения'!$D$68)*'Допущения'!$D$66+Y16*(1-('Допущения'!$D$67*(1-'Чувствительность'!$B$3))),0)</f>
        <v/>
      </c>
      <c r="Z18" s="14">
        <f>IF(Z9=1,Y18*(1-'Допущения'!$D$68)*'Допущения'!$D$66+Z16*(1-('Допущения'!$D$67*(1-'Чувствительность'!$B$3))),0)</f>
        <v/>
      </c>
      <c r="AA18" s="14">
        <f>IF(AA9=1,Z18*(1-'Допущения'!$D$68)*'Допущения'!$D$66+AA16*(1-('Допущения'!$D$67*(1-'Чувствительность'!$B$3))),0)</f>
        <v/>
      </c>
      <c r="AB18" s="14">
        <f>IF(AB9=1,AA18*(1-'Допущения'!$D$68)*'Допущения'!$D$66+AB16*(1-('Допущения'!$D$67*(1-'Чувствительность'!$B$3))),0)</f>
        <v/>
      </c>
      <c r="AC18" s="14">
        <f>IF(AC9=1,AB18*(1-'Допущения'!$D$68)*'Допущения'!$D$66+AC16*(1-('Допущения'!$D$67*(1-'Чувствительность'!$B$3))),0)</f>
        <v/>
      </c>
      <c r="AD18" s="14">
        <f>IF(AD9=1,AC18*(1-'Допущения'!$D$68)*'Допущения'!$D$66+AD16*(1-('Допущения'!$D$67*(1-'Чувствительность'!$B$3))),0)</f>
        <v/>
      </c>
      <c r="AE18" s="14">
        <f>IF(AE9=1,AD18*(1-'Допущения'!$D$68)*'Допущения'!$D$66+AE16*(1-('Допущения'!$D$67*(1-'Чувствительность'!$B$3))),0)</f>
        <v/>
      </c>
      <c r="AF18" s="14">
        <f>IF(AF9=1,AE18*(1-'Допущения'!$D$68)*'Допущения'!$D$66+AF16*(1-('Допущения'!$D$67*(1-'Чувствительность'!$B$3))),0)</f>
        <v/>
      </c>
      <c r="AG18" s="14">
        <f>IF(AG9=1,AF18*(1-'Допущения'!$D$68)*'Допущения'!$D$66+AG16*(1-('Допущения'!$D$67*(1-'Чувствительность'!$B$3))),0)</f>
        <v/>
      </c>
      <c r="AH18" s="14">
        <f>IF(AH9=1,AG18*(1-'Допущения'!$D$68)*'Допущения'!$D$66+AH16*(1-('Допущения'!$D$67*(1-'Чувствительность'!$B$3))),0)</f>
        <v/>
      </c>
      <c r="AI18" s="14">
        <f>IF(AI9=1,AH18*(1-'Допущения'!$D$68)*'Допущения'!$D$66+AI16*(1-('Допущения'!$D$67*(1-'Чувствительность'!$B$3))),0)</f>
        <v/>
      </c>
      <c r="AJ18" s="14">
        <f>IF(AJ9=1,AI18*(1-'Допущения'!$D$68)*'Допущения'!$D$66+AJ16*(1-('Допущения'!$D$67*(1-'Чувствительность'!$B$3))),0)</f>
        <v/>
      </c>
      <c r="AK18" s="14">
        <f>IF(AK9=1,AJ18*(1-'Допущения'!$D$68)*'Допущения'!$D$66+AK16*(1-('Допущения'!$D$67*(1-'Чувствительность'!$B$3))),0)</f>
        <v/>
      </c>
      <c r="AL18" s="14">
        <f>IF(AL9=1,AK18*(1-'Допущения'!$D$68)*'Допущения'!$D$66+AL16*(1-('Допущения'!$D$67*(1-'Чувствительность'!$B$3))),0)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IF(C9=1,C16*('Допущения'!$D$67*(1-'Чувствительность'!$B$3))+0*'Допущения'!$D$68,0)</f>
        <v/>
      </c>
      <c r="D19" s="14">
        <f>IF(D9=1,D16*('Допущения'!$D$67*(1-'Чувствительность'!$B$3))+C18*'Допущения'!$D$68,0)</f>
        <v/>
      </c>
      <c r="E19" s="14">
        <f>IF(E9=1,E16*('Допущения'!$D$67*(1-'Чувствительность'!$B$3))+D18*'Допущения'!$D$68,0)</f>
        <v/>
      </c>
      <c r="F19" s="14">
        <f>IF(F9=1,F16*('Допущения'!$D$67*(1-'Чувствительность'!$B$3))+E18*'Допущения'!$D$68,0)</f>
        <v/>
      </c>
      <c r="G19" s="14">
        <f>IF(G9=1,G16*('Допущения'!$D$67*(1-'Чувствительность'!$B$3))+F18*'Допущения'!$D$68,0)</f>
        <v/>
      </c>
      <c r="H19" s="14">
        <f>IF(H9=1,H16*('Допущения'!$D$67*(1-'Чувствительность'!$B$3))+G18*'Допущения'!$D$68,0)</f>
        <v/>
      </c>
      <c r="I19" s="14">
        <f>IF(I9=1,I16*('Допущения'!$D$67*(1-'Чувствительность'!$B$3))+H18*'Допущения'!$D$68,0)</f>
        <v/>
      </c>
      <c r="J19" s="14">
        <f>IF(J9=1,J16*('Допущения'!$D$67*(1-'Чувствительность'!$B$3))+I18*'Допущения'!$D$68,0)</f>
        <v/>
      </c>
      <c r="K19" s="14">
        <f>IF(K9=1,K16*('Допущения'!$D$67*(1-'Чувствительность'!$B$3))+J18*'Допущения'!$D$68,0)</f>
        <v/>
      </c>
      <c r="L19" s="14">
        <f>IF(L9=1,L16*('Допущения'!$D$67*(1-'Чувствительность'!$B$3))+K18*'Допущения'!$D$68,0)</f>
        <v/>
      </c>
      <c r="M19" s="14">
        <f>IF(M9=1,M16*('Допущения'!$D$67*(1-'Чувствительность'!$B$3))+L18*'Допущения'!$D$68,0)</f>
        <v/>
      </c>
      <c r="N19" s="14">
        <f>IF(N9=1,N16*('Допущения'!$D$67*(1-'Чувствительность'!$B$3))+M18*'Допущения'!$D$68,0)</f>
        <v/>
      </c>
      <c r="O19" s="14">
        <f>IF(O9=1,O16*('Допущения'!$D$67*(1-'Чувствительность'!$B$3))+N18*'Допущения'!$D$68,0)</f>
        <v/>
      </c>
      <c r="P19" s="14">
        <f>IF(P9=1,P16*('Допущения'!$D$67*(1-'Чувствительность'!$B$3))+O18*'Допущения'!$D$68,0)</f>
        <v/>
      </c>
      <c r="Q19" s="14">
        <f>IF(Q9=1,Q16*('Допущения'!$D$67*(1-'Чувствительность'!$B$3))+P18*'Допущения'!$D$68,0)</f>
        <v/>
      </c>
      <c r="R19" s="14">
        <f>IF(R9=1,R16*('Допущения'!$D$67*(1-'Чувствительность'!$B$3))+Q18*'Допущения'!$D$68,0)</f>
        <v/>
      </c>
      <c r="S19" s="14">
        <f>IF(S9=1,S16*('Допущения'!$D$67*(1-'Чувствительность'!$B$3))+R18*'Допущения'!$D$68,0)</f>
        <v/>
      </c>
      <c r="T19" s="14">
        <f>IF(T9=1,T16*('Допущения'!$D$67*(1-'Чувствительность'!$B$3))+S18*'Допущения'!$D$68,0)</f>
        <v/>
      </c>
      <c r="U19" s="14">
        <f>IF(U9=1,U16*('Допущения'!$D$67*(1-'Чувствительность'!$B$3))+T18*'Допущения'!$D$68,0)</f>
        <v/>
      </c>
      <c r="V19" s="14">
        <f>IF(V9=1,V16*('Допущения'!$D$67*(1-'Чувствительность'!$B$3))+U18*'Допущения'!$D$68,0)</f>
        <v/>
      </c>
      <c r="W19" s="14">
        <f>IF(W9=1,W16*('Допущения'!$D$67*(1-'Чувствительность'!$B$3))+V18*'Допущения'!$D$68,0)</f>
        <v/>
      </c>
      <c r="X19" s="14">
        <f>IF(X9=1,X16*('Допущения'!$D$67*(1-'Чувствительность'!$B$3))+W18*'Допущения'!$D$68,0)</f>
        <v/>
      </c>
      <c r="Y19" s="14">
        <f>IF(Y9=1,Y16*('Допущения'!$D$67*(1-'Чувствительность'!$B$3))+X18*'Допущения'!$D$68,0)</f>
        <v/>
      </c>
      <c r="Z19" s="14">
        <f>IF(Z9=1,Z16*('Допущения'!$D$67*(1-'Чувствительность'!$B$3))+Y18*'Допущения'!$D$68,0)</f>
        <v/>
      </c>
      <c r="AA19" s="14">
        <f>IF(AA9=1,AA16*('Допущения'!$D$67*(1-'Чувствительность'!$B$3))+Z18*'Допущения'!$D$68,0)</f>
        <v/>
      </c>
      <c r="AB19" s="14">
        <f>IF(AB9=1,AB16*('Допущения'!$D$67*(1-'Чувствительность'!$B$3))+AA18*'Допущения'!$D$68,0)</f>
        <v/>
      </c>
      <c r="AC19" s="14">
        <f>IF(AC9=1,AC16*('Допущения'!$D$67*(1-'Чувствительность'!$B$3))+AB18*'Допущения'!$D$68,0)</f>
        <v/>
      </c>
      <c r="AD19" s="14">
        <f>IF(AD9=1,AD16*('Допущения'!$D$67*(1-'Чувствительность'!$B$3))+AC18*'Допущения'!$D$68,0)</f>
        <v/>
      </c>
      <c r="AE19" s="14">
        <f>IF(AE9=1,AE16*('Допущения'!$D$67*(1-'Чувствительность'!$B$3))+AD18*'Допущения'!$D$68,0)</f>
        <v/>
      </c>
      <c r="AF19" s="14">
        <f>IF(AF9=1,AF16*('Допущения'!$D$67*(1-'Чувствительность'!$B$3))+AE18*'Допущения'!$D$68,0)</f>
        <v/>
      </c>
      <c r="AG19" s="14">
        <f>IF(AG9=1,AG16*('Допущения'!$D$67*(1-'Чувствительность'!$B$3))+AF18*'Допущения'!$D$68,0)</f>
        <v/>
      </c>
      <c r="AH19" s="14">
        <f>IF(AH9=1,AH16*('Допущения'!$D$67*(1-'Чувствительность'!$B$3))+AG18*'Допущения'!$D$68,0)</f>
        <v/>
      </c>
      <c r="AI19" s="14">
        <f>IF(AI9=1,AI16*('Допущения'!$D$67*(1-'Чувствительность'!$B$3))+AH18*'Допущения'!$D$68,0)</f>
        <v/>
      </c>
      <c r="AJ19" s="14">
        <f>IF(AJ9=1,AJ16*('Допущения'!$D$67*(1-'Чувствительность'!$B$3))+AI18*'Допущения'!$D$68,0)</f>
        <v/>
      </c>
      <c r="AK19" s="14">
        <f>IF(AK9=1,AK16*('Допущения'!$D$67*(1-'Чувствительность'!$B$3))+AJ18*'Допущения'!$D$68,0)</f>
        <v/>
      </c>
      <c r="AL19" s="14">
        <f>IF(AL9=1,AL16*('Допущения'!$D$67*(1-'Чувствительность'!$B$3))+AK18*'Допущения'!$D$68,0)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IF(C9=1,0*(1-'Допущения'!$D$68)*'Допущения'!$D$66+C16*(1-('Допущения'!$D$67*(1+'Чувствительность'!$B$3))),0)</f>
        <v/>
      </c>
      <c r="D18" s="14">
        <f>IF(D9=1,C18*(1-'Допущения'!$D$68)*'Допущения'!$D$66+D16*(1-('Допущения'!$D$67*(1+'Чувствительность'!$B$3))),0)</f>
        <v/>
      </c>
      <c r="E18" s="14">
        <f>IF(E9=1,D18*(1-'Допущения'!$D$68)*'Допущения'!$D$66+E16*(1-('Допущения'!$D$67*(1+'Чувствительность'!$B$3))),0)</f>
        <v/>
      </c>
      <c r="F18" s="14">
        <f>IF(F9=1,E18*(1-'Допущения'!$D$68)*'Допущения'!$D$66+F16*(1-('Допущения'!$D$67*(1+'Чувствительность'!$B$3))),0)</f>
        <v/>
      </c>
      <c r="G18" s="14">
        <f>IF(G9=1,F18*(1-'Допущения'!$D$68)*'Допущения'!$D$66+G16*(1-('Допущения'!$D$67*(1+'Чувствительность'!$B$3))),0)</f>
        <v/>
      </c>
      <c r="H18" s="14">
        <f>IF(H9=1,G18*(1-'Допущения'!$D$68)*'Допущения'!$D$66+H16*(1-('Допущения'!$D$67*(1+'Чувствительность'!$B$3))),0)</f>
        <v/>
      </c>
      <c r="I18" s="14">
        <f>IF(I9=1,H18*(1-'Допущения'!$D$68)*'Допущения'!$D$66+I16*(1-('Допущения'!$D$67*(1+'Чувствительность'!$B$3))),0)</f>
        <v/>
      </c>
      <c r="J18" s="14">
        <f>IF(J9=1,I18*(1-'Допущения'!$D$68)*'Допущения'!$D$66+J16*(1-('Допущения'!$D$67*(1+'Чувствительность'!$B$3))),0)</f>
        <v/>
      </c>
      <c r="K18" s="14">
        <f>IF(K9=1,J18*(1-'Допущения'!$D$68)*'Допущения'!$D$66+K16*(1-('Допущения'!$D$67*(1+'Чувствительность'!$B$3))),0)</f>
        <v/>
      </c>
      <c r="L18" s="14">
        <f>IF(L9=1,K18*(1-'Допущения'!$D$68)*'Допущения'!$D$66+L16*(1-('Допущения'!$D$67*(1+'Чувствительность'!$B$3))),0)</f>
        <v/>
      </c>
      <c r="M18" s="14">
        <f>IF(M9=1,L18*(1-'Допущения'!$D$68)*'Допущения'!$D$66+M16*(1-('Допущения'!$D$67*(1+'Чувствительность'!$B$3))),0)</f>
        <v/>
      </c>
      <c r="N18" s="14">
        <f>IF(N9=1,M18*(1-'Допущения'!$D$68)*'Допущения'!$D$66+N16*(1-('Допущения'!$D$67*(1+'Чувствительность'!$B$3))),0)</f>
        <v/>
      </c>
      <c r="O18" s="14">
        <f>IF(O9=1,N18*(1-'Допущения'!$D$68)*'Допущения'!$D$66+O16*(1-('Допущения'!$D$67*(1+'Чувствительность'!$B$3))),0)</f>
        <v/>
      </c>
      <c r="P18" s="14">
        <f>IF(P9=1,O18*(1-'Допущения'!$D$68)*'Допущения'!$D$66+P16*(1-('Допущения'!$D$67*(1+'Чувствительность'!$B$3))),0)</f>
        <v/>
      </c>
      <c r="Q18" s="14">
        <f>IF(Q9=1,P18*(1-'Допущения'!$D$68)*'Допущения'!$D$66+Q16*(1-('Допущения'!$D$67*(1+'Чувствительность'!$B$3))),0)</f>
        <v/>
      </c>
      <c r="R18" s="14">
        <f>IF(R9=1,Q18*(1-'Допущения'!$D$68)*'Допущения'!$D$66+R16*(1-('Допущения'!$D$67*(1+'Чувствительность'!$B$3))),0)</f>
        <v/>
      </c>
      <c r="S18" s="14">
        <f>IF(S9=1,R18*(1-'Допущения'!$D$68)*'Допущения'!$D$66+S16*(1-('Допущения'!$D$67*(1+'Чувствительность'!$B$3))),0)</f>
        <v/>
      </c>
      <c r="T18" s="14">
        <f>IF(T9=1,S18*(1-'Допущения'!$D$68)*'Допущения'!$D$66+T16*(1-('Допущения'!$D$67*(1+'Чувствительность'!$B$3))),0)</f>
        <v/>
      </c>
      <c r="U18" s="14">
        <f>IF(U9=1,T18*(1-'Допущения'!$D$68)*'Допущения'!$D$66+U16*(1-('Допущения'!$D$67*(1+'Чувствительность'!$B$3))),0)</f>
        <v/>
      </c>
      <c r="V18" s="14">
        <f>IF(V9=1,U18*(1-'Допущения'!$D$68)*'Допущения'!$D$66+V16*(1-('Допущения'!$D$67*(1+'Чувствительность'!$B$3))),0)</f>
        <v/>
      </c>
      <c r="W18" s="14">
        <f>IF(W9=1,V18*(1-'Допущения'!$D$68)*'Допущения'!$D$66+W16*(1-('Допущения'!$D$67*(1+'Чувствительность'!$B$3))),0)</f>
        <v/>
      </c>
      <c r="X18" s="14">
        <f>IF(X9=1,W18*(1-'Допущения'!$D$68)*'Допущения'!$D$66+X16*(1-('Допущения'!$D$67*(1+'Чувствительность'!$B$3))),0)</f>
        <v/>
      </c>
      <c r="Y18" s="14">
        <f>IF(Y9=1,X18*(1-'Допущения'!$D$68)*'Допущения'!$D$66+Y16*(1-('Допущения'!$D$67*(1+'Чувствительность'!$B$3))),0)</f>
        <v/>
      </c>
      <c r="Z18" s="14">
        <f>IF(Z9=1,Y18*(1-'Допущения'!$D$68)*'Допущения'!$D$66+Z16*(1-('Допущения'!$D$67*(1+'Чувствительность'!$B$3))),0)</f>
        <v/>
      </c>
      <c r="AA18" s="14">
        <f>IF(AA9=1,Z18*(1-'Допущения'!$D$68)*'Допущения'!$D$66+AA16*(1-('Допущения'!$D$67*(1+'Чувствительность'!$B$3))),0)</f>
        <v/>
      </c>
      <c r="AB18" s="14">
        <f>IF(AB9=1,AA18*(1-'Допущения'!$D$68)*'Допущения'!$D$66+AB16*(1-('Допущения'!$D$67*(1+'Чувствительность'!$B$3))),0)</f>
        <v/>
      </c>
      <c r="AC18" s="14">
        <f>IF(AC9=1,AB18*(1-'Допущения'!$D$68)*'Допущения'!$D$66+AC16*(1-('Допущения'!$D$67*(1+'Чувствительность'!$B$3))),0)</f>
        <v/>
      </c>
      <c r="AD18" s="14">
        <f>IF(AD9=1,AC18*(1-'Допущения'!$D$68)*'Допущения'!$D$66+AD16*(1-('Допущения'!$D$67*(1+'Чувствительность'!$B$3))),0)</f>
        <v/>
      </c>
      <c r="AE18" s="14">
        <f>IF(AE9=1,AD18*(1-'Допущения'!$D$68)*'Допущения'!$D$66+AE16*(1-('Допущения'!$D$67*(1+'Чувствительность'!$B$3))),0)</f>
        <v/>
      </c>
      <c r="AF18" s="14">
        <f>IF(AF9=1,AE18*(1-'Допущения'!$D$68)*'Допущения'!$D$66+AF16*(1-('Допущения'!$D$67*(1+'Чувствительность'!$B$3))),0)</f>
        <v/>
      </c>
      <c r="AG18" s="14">
        <f>IF(AG9=1,AF18*(1-'Допущения'!$D$68)*'Допущения'!$D$66+AG16*(1-('Допущения'!$D$67*(1+'Чувствительность'!$B$3))),0)</f>
        <v/>
      </c>
      <c r="AH18" s="14">
        <f>IF(AH9=1,AG18*(1-'Допущения'!$D$68)*'Допущения'!$D$66+AH16*(1-('Допущения'!$D$67*(1+'Чувствительность'!$B$3))),0)</f>
        <v/>
      </c>
      <c r="AI18" s="14">
        <f>IF(AI9=1,AH18*(1-'Допущения'!$D$68)*'Допущения'!$D$66+AI16*(1-('Допущения'!$D$67*(1+'Чувствительность'!$B$3))),0)</f>
        <v/>
      </c>
      <c r="AJ18" s="14">
        <f>IF(AJ9=1,AI18*(1-'Допущения'!$D$68)*'Допущения'!$D$66+AJ16*(1-('Допущения'!$D$67*(1+'Чувствительность'!$B$3))),0)</f>
        <v/>
      </c>
      <c r="AK18" s="14">
        <f>IF(AK9=1,AJ18*(1-'Допущения'!$D$68)*'Допущения'!$D$66+AK16*(1-('Допущения'!$D$67*(1+'Чувствительность'!$B$3))),0)</f>
        <v/>
      </c>
      <c r="AL18" s="14">
        <f>IF(AL9=1,AK18*(1-'Допущения'!$D$68)*'Допущения'!$D$66+AL16*(1-('Допущения'!$D$67*(1+'Чувствительность'!$B$3))),0)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IF(C9=1,C16*('Допущения'!$D$67*(1+'Чувствительность'!$B$3))+0*'Допущения'!$D$68,0)</f>
        <v/>
      </c>
      <c r="D19" s="14">
        <f>IF(D9=1,D16*('Допущения'!$D$67*(1+'Чувствительность'!$B$3))+C18*'Допущения'!$D$68,0)</f>
        <v/>
      </c>
      <c r="E19" s="14">
        <f>IF(E9=1,E16*('Допущения'!$D$67*(1+'Чувствительность'!$B$3))+D18*'Допущения'!$D$68,0)</f>
        <v/>
      </c>
      <c r="F19" s="14">
        <f>IF(F9=1,F16*('Допущения'!$D$67*(1+'Чувствительность'!$B$3))+E18*'Допущения'!$D$68,0)</f>
        <v/>
      </c>
      <c r="G19" s="14">
        <f>IF(G9=1,G16*('Допущения'!$D$67*(1+'Чувствительность'!$B$3))+F18*'Допущения'!$D$68,0)</f>
        <v/>
      </c>
      <c r="H19" s="14">
        <f>IF(H9=1,H16*('Допущения'!$D$67*(1+'Чувствительность'!$B$3))+G18*'Допущения'!$D$68,0)</f>
        <v/>
      </c>
      <c r="I19" s="14">
        <f>IF(I9=1,I16*('Допущения'!$D$67*(1+'Чувствительность'!$B$3))+H18*'Допущения'!$D$68,0)</f>
        <v/>
      </c>
      <c r="J19" s="14">
        <f>IF(J9=1,J16*('Допущения'!$D$67*(1+'Чувствительность'!$B$3))+I18*'Допущения'!$D$68,0)</f>
        <v/>
      </c>
      <c r="K19" s="14">
        <f>IF(K9=1,K16*('Допущения'!$D$67*(1+'Чувствительность'!$B$3))+J18*'Допущения'!$D$68,0)</f>
        <v/>
      </c>
      <c r="L19" s="14">
        <f>IF(L9=1,L16*('Допущения'!$D$67*(1+'Чувствительность'!$B$3))+K18*'Допущения'!$D$68,0)</f>
        <v/>
      </c>
      <c r="M19" s="14">
        <f>IF(M9=1,M16*('Допущения'!$D$67*(1+'Чувствительность'!$B$3))+L18*'Допущения'!$D$68,0)</f>
        <v/>
      </c>
      <c r="N19" s="14">
        <f>IF(N9=1,N16*('Допущения'!$D$67*(1+'Чувствительность'!$B$3))+M18*'Допущения'!$D$68,0)</f>
        <v/>
      </c>
      <c r="O19" s="14">
        <f>IF(O9=1,O16*('Допущения'!$D$67*(1+'Чувствительность'!$B$3))+N18*'Допущения'!$D$68,0)</f>
        <v/>
      </c>
      <c r="P19" s="14">
        <f>IF(P9=1,P16*('Допущения'!$D$67*(1+'Чувствительность'!$B$3))+O18*'Допущения'!$D$68,0)</f>
        <v/>
      </c>
      <c r="Q19" s="14">
        <f>IF(Q9=1,Q16*('Допущения'!$D$67*(1+'Чувствительность'!$B$3))+P18*'Допущения'!$D$68,0)</f>
        <v/>
      </c>
      <c r="R19" s="14">
        <f>IF(R9=1,R16*('Допущения'!$D$67*(1+'Чувствительность'!$B$3))+Q18*'Допущения'!$D$68,0)</f>
        <v/>
      </c>
      <c r="S19" s="14">
        <f>IF(S9=1,S16*('Допущения'!$D$67*(1+'Чувствительность'!$B$3))+R18*'Допущения'!$D$68,0)</f>
        <v/>
      </c>
      <c r="T19" s="14">
        <f>IF(T9=1,T16*('Допущения'!$D$67*(1+'Чувствительность'!$B$3))+S18*'Допущения'!$D$68,0)</f>
        <v/>
      </c>
      <c r="U19" s="14">
        <f>IF(U9=1,U16*('Допущения'!$D$67*(1+'Чувствительность'!$B$3))+T18*'Допущения'!$D$68,0)</f>
        <v/>
      </c>
      <c r="V19" s="14">
        <f>IF(V9=1,V16*('Допущения'!$D$67*(1+'Чувствительность'!$B$3))+U18*'Допущения'!$D$68,0)</f>
        <v/>
      </c>
      <c r="W19" s="14">
        <f>IF(W9=1,W16*('Допущения'!$D$67*(1+'Чувствительность'!$B$3))+V18*'Допущения'!$D$68,0)</f>
        <v/>
      </c>
      <c r="X19" s="14">
        <f>IF(X9=1,X16*('Допущения'!$D$67*(1+'Чувствительность'!$B$3))+W18*'Допущения'!$D$68,0)</f>
        <v/>
      </c>
      <c r="Y19" s="14">
        <f>IF(Y9=1,Y16*('Допущения'!$D$67*(1+'Чувствительность'!$B$3))+X18*'Допущения'!$D$68,0)</f>
        <v/>
      </c>
      <c r="Z19" s="14">
        <f>IF(Z9=1,Z16*('Допущения'!$D$67*(1+'Чувствительность'!$B$3))+Y18*'Допущения'!$D$68,0)</f>
        <v/>
      </c>
      <c r="AA19" s="14">
        <f>IF(AA9=1,AA16*('Допущения'!$D$67*(1+'Чувствительность'!$B$3))+Z18*'Допущения'!$D$68,0)</f>
        <v/>
      </c>
      <c r="AB19" s="14">
        <f>IF(AB9=1,AB16*('Допущения'!$D$67*(1+'Чувствительность'!$B$3))+AA18*'Допущения'!$D$68,0)</f>
        <v/>
      </c>
      <c r="AC19" s="14">
        <f>IF(AC9=1,AC16*('Допущения'!$D$67*(1+'Чувствительность'!$B$3))+AB18*'Допущения'!$D$68,0)</f>
        <v/>
      </c>
      <c r="AD19" s="14">
        <f>IF(AD9=1,AD16*('Допущения'!$D$67*(1+'Чувствительность'!$B$3))+AC18*'Допущения'!$D$68,0)</f>
        <v/>
      </c>
      <c r="AE19" s="14">
        <f>IF(AE9=1,AE16*('Допущения'!$D$67*(1+'Чувствительность'!$B$3))+AD18*'Допущения'!$D$68,0)</f>
        <v/>
      </c>
      <c r="AF19" s="14">
        <f>IF(AF9=1,AF16*('Допущения'!$D$67*(1+'Чувствительность'!$B$3))+AE18*'Допущения'!$D$68,0)</f>
        <v/>
      </c>
      <c r="AG19" s="14">
        <f>IF(AG9=1,AG16*('Допущения'!$D$67*(1+'Чувствительность'!$B$3))+AF18*'Допущения'!$D$68,0)</f>
        <v/>
      </c>
      <c r="AH19" s="14">
        <f>IF(AH9=1,AH16*('Допущения'!$D$67*(1+'Чувствительность'!$B$3))+AG18*'Допущения'!$D$68,0)</f>
        <v/>
      </c>
      <c r="AI19" s="14">
        <f>IF(AI9=1,AI16*('Допущения'!$D$67*(1+'Чувствительность'!$B$3))+AH18*'Допущения'!$D$68,0)</f>
        <v/>
      </c>
      <c r="AJ19" s="14">
        <f>IF(AJ9=1,AJ16*('Допущения'!$D$67*(1+'Чувствительность'!$B$3))+AI18*'Допущения'!$D$68,0)</f>
        <v/>
      </c>
      <c r="AK19" s="14">
        <f>IF(AK9=1,AK16*('Допущения'!$D$67*(1+'Чувствительность'!$B$3))+AJ18*'Допущения'!$D$68,0)</f>
        <v/>
      </c>
      <c r="AL19" s="14">
        <f>IF(AL9=1,AL16*('Допущения'!$D$67*(1+'Чувствительность'!$B$3))+AK18*'Допущения'!$D$68,0)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0*('Допущения'!$D$69*(1-'Чувствительность'!$B$3))</f>
        <v/>
      </c>
      <c r="D20" s="14">
        <f>C21*('Допущения'!$D$69*(1-'Чувствительность'!$B$3))</f>
        <v/>
      </c>
      <c r="E20" s="14">
        <f>D21*('Допущения'!$D$69*(1-'Чувствительность'!$B$3))</f>
        <v/>
      </c>
      <c r="F20" s="14">
        <f>E21*('Допущения'!$D$69*(1-'Чувствительность'!$B$3))</f>
        <v/>
      </c>
      <c r="G20" s="14">
        <f>F21*('Допущения'!$D$69*(1-'Чувствительность'!$B$3))</f>
        <v/>
      </c>
      <c r="H20" s="14">
        <f>G21*('Допущения'!$D$69*(1-'Чувствительность'!$B$3))</f>
        <v/>
      </c>
      <c r="I20" s="14">
        <f>H21*('Допущения'!$D$69*(1-'Чувствительность'!$B$3))</f>
        <v/>
      </c>
      <c r="J20" s="14">
        <f>I21*('Допущения'!$D$69*(1-'Чувствительность'!$B$3))</f>
        <v/>
      </c>
      <c r="K20" s="14">
        <f>J21*('Допущения'!$D$69*(1-'Чувствительность'!$B$3))</f>
        <v/>
      </c>
      <c r="L20" s="14">
        <f>K21*('Допущения'!$D$69*(1-'Чувствительность'!$B$3))</f>
        <v/>
      </c>
      <c r="M20" s="14">
        <f>L21*('Допущения'!$D$69*(1-'Чувствительность'!$B$3))</f>
        <v/>
      </c>
      <c r="N20" s="14">
        <f>M21*('Допущения'!$D$69*(1-'Чувствительность'!$B$3))</f>
        <v/>
      </c>
      <c r="O20" s="14">
        <f>N21*('Допущения'!$D$69*(1-'Чувствительность'!$B$3))</f>
        <v/>
      </c>
      <c r="P20" s="14">
        <f>O21*('Допущения'!$D$69*(1-'Чувствительность'!$B$3))</f>
        <v/>
      </c>
      <c r="Q20" s="14">
        <f>P21*('Допущения'!$D$69*(1-'Чувствительность'!$B$3))</f>
        <v/>
      </c>
      <c r="R20" s="14">
        <f>Q21*('Допущения'!$D$69*(1-'Чувствительность'!$B$3))</f>
        <v/>
      </c>
      <c r="S20" s="14">
        <f>R21*('Допущения'!$D$69*(1-'Чувствительность'!$B$3))</f>
        <v/>
      </c>
      <c r="T20" s="14">
        <f>S21*('Допущения'!$D$69*(1-'Чувствительность'!$B$3))</f>
        <v/>
      </c>
      <c r="U20" s="14">
        <f>T21*('Допущения'!$D$69*(1-'Чувствительность'!$B$3))</f>
        <v/>
      </c>
      <c r="V20" s="14">
        <f>U21*('Допущения'!$D$69*(1-'Чувствительность'!$B$3))</f>
        <v/>
      </c>
      <c r="W20" s="14">
        <f>V21*('Допущения'!$D$69*(1-'Чувствительность'!$B$3))</f>
        <v/>
      </c>
      <c r="X20" s="14">
        <f>W21*('Допущения'!$D$69*(1-'Чувствительность'!$B$3))</f>
        <v/>
      </c>
      <c r="Y20" s="14">
        <f>X21*('Допущения'!$D$69*(1-'Чувствительность'!$B$3))</f>
        <v/>
      </c>
      <c r="Z20" s="14">
        <f>Y21*('Допущения'!$D$69*(1-'Чувствительность'!$B$3))</f>
        <v/>
      </c>
      <c r="AA20" s="14">
        <f>Z21*('Допущения'!$D$69*(1-'Чувствительность'!$B$3))</f>
        <v/>
      </c>
      <c r="AB20" s="14">
        <f>AA21*('Допущения'!$D$69*(1-'Чувствительность'!$B$3))</f>
        <v/>
      </c>
      <c r="AC20" s="14">
        <f>AB21*('Допущения'!$D$69*(1-'Чувствительность'!$B$3))</f>
        <v/>
      </c>
      <c r="AD20" s="14">
        <f>AC21*('Допущения'!$D$69*(1-'Чувствительность'!$B$3))</f>
        <v/>
      </c>
      <c r="AE20" s="14">
        <f>AD21*('Допущения'!$D$69*(1-'Чувствительность'!$B$3))</f>
        <v/>
      </c>
      <c r="AF20" s="14">
        <f>AE21*('Допущения'!$D$69*(1-'Чувствительность'!$B$3))</f>
        <v/>
      </c>
      <c r="AG20" s="14">
        <f>AF21*('Допущения'!$D$69*(1-'Чувствительность'!$B$3))</f>
        <v/>
      </c>
      <c r="AH20" s="14">
        <f>AG21*('Допущения'!$D$69*(1-'Чувствительность'!$B$3))</f>
        <v/>
      </c>
      <c r="AI20" s="14">
        <f>AH21*('Допущения'!$D$69*(1-'Чувствительность'!$B$3))</f>
        <v/>
      </c>
      <c r="AJ20" s="14">
        <f>AI21*('Допущения'!$D$69*(1-'Чувствительность'!$B$3))</f>
        <v/>
      </c>
      <c r="AK20" s="14">
        <f>AJ21*('Допущения'!$D$69*(1-'Чувствительность'!$B$3))</f>
        <v/>
      </c>
      <c r="AL20" s="14">
        <f>AK21*('Допущения'!$D$69*(1-'Чувствительность'!$B$3))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'Себестоимость'!$D$13*'Себестоимость'!$D$15/('Допущения'!$D$69*(1-'Чувствительность'!$B$3))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0*('Допущения'!$D$69*(1+'Чувствительность'!$B$3))</f>
        <v/>
      </c>
      <c r="D20" s="14">
        <f>C21*('Допущения'!$D$69*(1+'Чувствительность'!$B$3))</f>
        <v/>
      </c>
      <c r="E20" s="14">
        <f>D21*('Допущения'!$D$69*(1+'Чувствительность'!$B$3))</f>
        <v/>
      </c>
      <c r="F20" s="14">
        <f>E21*('Допущения'!$D$69*(1+'Чувствительность'!$B$3))</f>
        <v/>
      </c>
      <c r="G20" s="14">
        <f>F21*('Допущения'!$D$69*(1+'Чувствительность'!$B$3))</f>
        <v/>
      </c>
      <c r="H20" s="14">
        <f>G21*('Допущения'!$D$69*(1+'Чувствительность'!$B$3))</f>
        <v/>
      </c>
      <c r="I20" s="14">
        <f>H21*('Допущения'!$D$69*(1+'Чувствительность'!$B$3))</f>
        <v/>
      </c>
      <c r="J20" s="14">
        <f>I21*('Допущения'!$D$69*(1+'Чувствительность'!$B$3))</f>
        <v/>
      </c>
      <c r="K20" s="14">
        <f>J21*('Допущения'!$D$69*(1+'Чувствительность'!$B$3))</f>
        <v/>
      </c>
      <c r="L20" s="14">
        <f>K21*('Допущения'!$D$69*(1+'Чувствительность'!$B$3))</f>
        <v/>
      </c>
      <c r="M20" s="14">
        <f>L21*('Допущения'!$D$69*(1+'Чувствительность'!$B$3))</f>
        <v/>
      </c>
      <c r="N20" s="14">
        <f>M21*('Допущения'!$D$69*(1+'Чувствительность'!$B$3))</f>
        <v/>
      </c>
      <c r="O20" s="14">
        <f>N21*('Допущения'!$D$69*(1+'Чувствительность'!$B$3))</f>
        <v/>
      </c>
      <c r="P20" s="14">
        <f>O21*('Допущения'!$D$69*(1+'Чувствительность'!$B$3))</f>
        <v/>
      </c>
      <c r="Q20" s="14">
        <f>P21*('Допущения'!$D$69*(1+'Чувствительность'!$B$3))</f>
        <v/>
      </c>
      <c r="R20" s="14">
        <f>Q21*('Допущения'!$D$69*(1+'Чувствительность'!$B$3))</f>
        <v/>
      </c>
      <c r="S20" s="14">
        <f>R21*('Допущения'!$D$69*(1+'Чувствительность'!$B$3))</f>
        <v/>
      </c>
      <c r="T20" s="14">
        <f>S21*('Допущения'!$D$69*(1+'Чувствительность'!$B$3))</f>
        <v/>
      </c>
      <c r="U20" s="14">
        <f>T21*('Допущения'!$D$69*(1+'Чувствительность'!$B$3))</f>
        <v/>
      </c>
      <c r="V20" s="14">
        <f>U21*('Допущения'!$D$69*(1+'Чувствительность'!$B$3))</f>
        <v/>
      </c>
      <c r="W20" s="14">
        <f>V21*('Допущения'!$D$69*(1+'Чувствительность'!$B$3))</f>
        <v/>
      </c>
      <c r="X20" s="14">
        <f>W21*('Допущения'!$D$69*(1+'Чувствительность'!$B$3))</f>
        <v/>
      </c>
      <c r="Y20" s="14">
        <f>X21*('Допущения'!$D$69*(1+'Чувствительность'!$B$3))</f>
        <v/>
      </c>
      <c r="Z20" s="14">
        <f>Y21*('Допущения'!$D$69*(1+'Чувствительность'!$B$3))</f>
        <v/>
      </c>
      <c r="AA20" s="14">
        <f>Z21*('Допущения'!$D$69*(1+'Чувствительность'!$B$3))</f>
        <v/>
      </c>
      <c r="AB20" s="14">
        <f>AA21*('Допущения'!$D$69*(1+'Чувствительность'!$B$3))</f>
        <v/>
      </c>
      <c r="AC20" s="14">
        <f>AB21*('Допущения'!$D$69*(1+'Чувствительность'!$B$3))</f>
        <v/>
      </c>
      <c r="AD20" s="14">
        <f>AC21*('Допущения'!$D$69*(1+'Чувствительность'!$B$3))</f>
        <v/>
      </c>
      <c r="AE20" s="14">
        <f>AD21*('Допущения'!$D$69*(1+'Чувствительность'!$B$3))</f>
        <v/>
      </c>
      <c r="AF20" s="14">
        <f>AE21*('Допущения'!$D$69*(1+'Чувствительность'!$B$3))</f>
        <v/>
      </c>
      <c r="AG20" s="14">
        <f>AF21*('Допущения'!$D$69*(1+'Чувствительность'!$B$3))</f>
        <v/>
      </c>
      <c r="AH20" s="14">
        <f>AG21*('Допущения'!$D$69*(1+'Чувствительность'!$B$3))</f>
        <v/>
      </c>
      <c r="AI20" s="14">
        <f>AH21*('Допущения'!$D$69*(1+'Чувствительность'!$B$3))</f>
        <v/>
      </c>
      <c r="AJ20" s="14">
        <f>AI21*('Допущения'!$D$69*(1+'Чувствительность'!$B$3))</f>
        <v/>
      </c>
      <c r="AK20" s="14">
        <f>AJ21*('Допущения'!$D$69*(1+'Чувствительность'!$B$3))</f>
        <v/>
      </c>
      <c r="AL20" s="14">
        <f>AK21*('Допущения'!$D$69*(1+'Чувствительность'!$B$3))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'Себестоимость'!$D$13*'Себестоимость'!$D$15/('Допущения'!$D$69*(1+'Чувствительность'!$B$3))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C21*('Себестоимость'!$D$12*(1-'Чувствительность'!$B$3))</f>
        <v/>
      </c>
      <c r="D24" s="21">
        <f>D21*('Себестоимость'!$D$12*(1-'Чувствительность'!$B$3))</f>
        <v/>
      </c>
      <c r="E24" s="21">
        <f>E21*('Себестоимость'!$D$12*(1-'Чувствительность'!$B$3))</f>
        <v/>
      </c>
      <c r="F24" s="21">
        <f>F21*('Себестоимость'!$D$12*(1-'Чувствительность'!$B$3))</f>
        <v/>
      </c>
      <c r="G24" s="21">
        <f>G21*('Себестоимость'!$D$12*(1-'Чувствительность'!$B$3))</f>
        <v/>
      </c>
      <c r="H24" s="21">
        <f>H21*('Себестоимость'!$D$12*(1-'Чувствительность'!$B$3))</f>
        <v/>
      </c>
      <c r="I24" s="21">
        <f>I21*('Себестоимость'!$D$12*(1-'Чувствительность'!$B$3))</f>
        <v/>
      </c>
      <c r="J24" s="21">
        <f>J21*('Себестоимость'!$D$12*(1-'Чувствительность'!$B$3))</f>
        <v/>
      </c>
      <c r="K24" s="21">
        <f>K21*('Себестоимость'!$D$12*(1-'Чувствительность'!$B$3))</f>
        <v/>
      </c>
      <c r="L24" s="21">
        <f>L21*('Себестоимость'!$D$12*(1-'Чувствительность'!$B$3))</f>
        <v/>
      </c>
      <c r="M24" s="21">
        <f>M21*('Себестоимость'!$D$12*(1-'Чувствительность'!$B$3))</f>
        <v/>
      </c>
      <c r="N24" s="21">
        <f>N21*('Себестоимость'!$D$12*(1-'Чувствительность'!$B$3))</f>
        <v/>
      </c>
      <c r="O24" s="21">
        <f>O21*('Себестоимость'!$D$12*(1-'Чувствительность'!$B$3))</f>
        <v/>
      </c>
      <c r="P24" s="21">
        <f>P21*('Себестоимость'!$D$12*(1-'Чувствительность'!$B$3))</f>
        <v/>
      </c>
      <c r="Q24" s="21">
        <f>Q21*('Себестоимость'!$D$12*(1-'Чувствительность'!$B$3))</f>
        <v/>
      </c>
      <c r="R24" s="21">
        <f>R21*('Себестоимость'!$D$12*(1-'Чувствительность'!$B$3))</f>
        <v/>
      </c>
      <c r="S24" s="21">
        <f>S21*('Себестоимость'!$D$12*(1-'Чувствительность'!$B$3))</f>
        <v/>
      </c>
      <c r="T24" s="21">
        <f>T21*('Себестоимость'!$D$12*(1-'Чувствительность'!$B$3))</f>
        <v/>
      </c>
      <c r="U24" s="21">
        <f>U21*('Себестоимость'!$D$12*(1-'Чувствительность'!$B$3))</f>
        <v/>
      </c>
      <c r="V24" s="21">
        <f>V21*('Себестоимость'!$D$12*(1-'Чувствительность'!$B$3))</f>
        <v/>
      </c>
      <c r="W24" s="21">
        <f>W21*('Себестоимость'!$D$12*(1-'Чувствительность'!$B$3))</f>
        <v/>
      </c>
      <c r="X24" s="21">
        <f>X21*('Себестоимость'!$D$12*(1-'Чувствительность'!$B$3))</f>
        <v/>
      </c>
      <c r="Y24" s="21">
        <f>Y21*('Себестоимость'!$D$12*(1-'Чувствительность'!$B$3))</f>
        <v/>
      </c>
      <c r="Z24" s="21">
        <f>Z21*('Себестоимость'!$D$12*(1-'Чувствительность'!$B$3))</f>
        <v/>
      </c>
      <c r="AA24" s="21">
        <f>AA21*('Себестоимость'!$D$12*(1-'Чувствительность'!$B$3))</f>
        <v/>
      </c>
      <c r="AB24" s="21">
        <f>AB21*('Себестоимость'!$D$12*(1-'Чувствительность'!$B$3))</f>
        <v/>
      </c>
      <c r="AC24" s="21">
        <f>AC21*('Себестоимость'!$D$12*(1-'Чувствительность'!$B$3))</f>
        <v/>
      </c>
      <c r="AD24" s="21">
        <f>AD21*('Себестоимость'!$D$12*(1-'Чувствительность'!$B$3))</f>
        <v/>
      </c>
      <c r="AE24" s="21">
        <f>AE21*('Себестоимость'!$D$12*(1-'Чувствительность'!$B$3))</f>
        <v/>
      </c>
      <c r="AF24" s="21">
        <f>AF21*('Себестоимость'!$D$12*(1-'Чувствительность'!$B$3))</f>
        <v/>
      </c>
      <c r="AG24" s="21">
        <f>AG21*('Себестоимость'!$D$12*(1-'Чувствительность'!$B$3))</f>
        <v/>
      </c>
      <c r="AH24" s="21">
        <f>AH21*('Себестоимость'!$D$12*(1-'Чувствительность'!$B$3))</f>
        <v/>
      </c>
      <c r="AI24" s="21">
        <f>AI21*('Себестоимость'!$D$12*(1-'Чувствительность'!$B$3))</f>
        <v/>
      </c>
      <c r="AJ24" s="21">
        <f>AJ21*('Себестоимость'!$D$12*(1-'Чувствительность'!$B$3))</f>
        <v/>
      </c>
      <c r="AK24" s="21">
        <f>AK21*('Себестоимость'!$D$12*(1-'Чувствительность'!$B$3))</f>
        <v/>
      </c>
      <c r="AL24" s="21">
        <f>AL21*('Себестоимость'!$D$12*(1-'Чувствительность'!$B$3))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C21*('Себестоимость'!$D$13*(1-'Чувствительность'!$B$3))</f>
        <v/>
      </c>
      <c r="D26" s="21">
        <f>D21*('Себестоимость'!$D$13*(1-'Чувствительность'!$B$3))</f>
        <v/>
      </c>
      <c r="E26" s="21">
        <f>E21*('Себестоимость'!$D$13*(1-'Чувствительность'!$B$3))</f>
        <v/>
      </c>
      <c r="F26" s="21">
        <f>F21*('Себестоимость'!$D$13*(1-'Чувствительность'!$B$3))</f>
        <v/>
      </c>
      <c r="G26" s="21">
        <f>G21*('Себестоимость'!$D$13*(1-'Чувствительность'!$B$3))</f>
        <v/>
      </c>
      <c r="H26" s="21">
        <f>H21*('Себестоимость'!$D$13*(1-'Чувствительность'!$B$3))</f>
        <v/>
      </c>
      <c r="I26" s="21">
        <f>I21*('Себестоимость'!$D$13*(1-'Чувствительность'!$B$3))</f>
        <v/>
      </c>
      <c r="J26" s="21">
        <f>J21*('Себестоимость'!$D$13*(1-'Чувствительность'!$B$3))</f>
        <v/>
      </c>
      <c r="K26" s="21">
        <f>K21*('Себестоимость'!$D$13*(1-'Чувствительность'!$B$3))</f>
        <v/>
      </c>
      <c r="L26" s="21">
        <f>L21*('Себестоимость'!$D$13*(1-'Чувствительность'!$B$3))</f>
        <v/>
      </c>
      <c r="M26" s="21">
        <f>M21*('Себестоимость'!$D$13*(1-'Чувствительность'!$B$3))</f>
        <v/>
      </c>
      <c r="N26" s="21">
        <f>N21*('Себестоимость'!$D$13*(1-'Чувствительность'!$B$3))</f>
        <v/>
      </c>
      <c r="O26" s="21">
        <f>O21*('Себестоимость'!$D$13*(1-'Чувствительность'!$B$3))</f>
        <v/>
      </c>
      <c r="P26" s="21">
        <f>P21*('Себестоимость'!$D$13*(1-'Чувствительность'!$B$3))</f>
        <v/>
      </c>
      <c r="Q26" s="21">
        <f>Q21*('Себестоимость'!$D$13*(1-'Чувствительность'!$B$3))</f>
        <v/>
      </c>
      <c r="R26" s="21">
        <f>R21*('Себестоимость'!$D$13*(1-'Чувствительность'!$B$3))</f>
        <v/>
      </c>
      <c r="S26" s="21">
        <f>S21*('Себестоимость'!$D$13*(1-'Чувствительность'!$B$3))</f>
        <v/>
      </c>
      <c r="T26" s="21">
        <f>T21*('Себестоимость'!$D$13*(1-'Чувствительность'!$B$3))</f>
        <v/>
      </c>
      <c r="U26" s="21">
        <f>U21*('Себестоимость'!$D$13*(1-'Чувствительность'!$B$3))</f>
        <v/>
      </c>
      <c r="V26" s="21">
        <f>V21*('Себестоимость'!$D$13*(1-'Чувствительность'!$B$3))</f>
        <v/>
      </c>
      <c r="W26" s="21">
        <f>W21*('Себестоимость'!$D$13*(1-'Чувствительность'!$B$3))</f>
        <v/>
      </c>
      <c r="X26" s="21">
        <f>X21*('Себестоимость'!$D$13*(1-'Чувствительность'!$B$3))</f>
        <v/>
      </c>
      <c r="Y26" s="21">
        <f>Y21*('Себестоимость'!$D$13*(1-'Чувствительность'!$B$3))</f>
        <v/>
      </c>
      <c r="Z26" s="21">
        <f>Z21*('Себестоимость'!$D$13*(1-'Чувствительность'!$B$3))</f>
        <v/>
      </c>
      <c r="AA26" s="21">
        <f>AA21*('Себестоимость'!$D$13*(1-'Чувствительность'!$B$3))</f>
        <v/>
      </c>
      <c r="AB26" s="21">
        <f>AB21*('Себестоимость'!$D$13*(1-'Чувствительность'!$B$3))</f>
        <v/>
      </c>
      <c r="AC26" s="21">
        <f>AC21*('Себестоимость'!$D$13*(1-'Чувствительность'!$B$3))</f>
        <v/>
      </c>
      <c r="AD26" s="21">
        <f>AD21*('Себестоимость'!$D$13*(1-'Чувствительность'!$B$3))</f>
        <v/>
      </c>
      <c r="AE26" s="21">
        <f>AE21*('Себестоимость'!$D$13*(1-'Чувствительность'!$B$3))</f>
        <v/>
      </c>
      <c r="AF26" s="21">
        <f>AF21*('Себестоимость'!$D$13*(1-'Чувствительность'!$B$3))</f>
        <v/>
      </c>
      <c r="AG26" s="21">
        <f>AG21*('Себестоимость'!$D$13*(1-'Чувствительность'!$B$3))</f>
        <v/>
      </c>
      <c r="AH26" s="21">
        <f>AH21*('Себестоимость'!$D$13*(1-'Чувствительность'!$B$3))</f>
        <v/>
      </c>
      <c r="AI26" s="21">
        <f>AI21*('Себестоимость'!$D$13*(1-'Чувствительность'!$B$3))</f>
        <v/>
      </c>
      <c r="AJ26" s="21">
        <f>AJ21*('Себестоимость'!$D$13*(1-'Чувствительность'!$B$3))</f>
        <v/>
      </c>
      <c r="AK26" s="21">
        <f>AK21*('Себестоимость'!$D$13*(1-'Чувствительность'!$B$3))</f>
        <v/>
      </c>
      <c r="AL26" s="21">
        <f>AL21*('Себестоимость'!$D$13*(1-'Чувствительность'!$B$3))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('Себестоимость'!$D$13*(1-'Чувствительность'!$B$3))*'Себестоимость'!$D$15/'Допущения'!$D$69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C21*('Себестоимость'!$D$12*(1+'Чувствительность'!$B$3))</f>
        <v/>
      </c>
      <c r="D24" s="21">
        <f>D21*('Себестоимость'!$D$12*(1+'Чувствительность'!$B$3))</f>
        <v/>
      </c>
      <c r="E24" s="21">
        <f>E21*('Себестоимость'!$D$12*(1+'Чувствительность'!$B$3))</f>
        <v/>
      </c>
      <c r="F24" s="21">
        <f>F21*('Себестоимость'!$D$12*(1+'Чувствительность'!$B$3))</f>
        <v/>
      </c>
      <c r="G24" s="21">
        <f>G21*('Себестоимость'!$D$12*(1+'Чувствительность'!$B$3))</f>
        <v/>
      </c>
      <c r="H24" s="21">
        <f>H21*('Себестоимость'!$D$12*(1+'Чувствительность'!$B$3))</f>
        <v/>
      </c>
      <c r="I24" s="21">
        <f>I21*('Себестоимость'!$D$12*(1+'Чувствительность'!$B$3))</f>
        <v/>
      </c>
      <c r="J24" s="21">
        <f>J21*('Себестоимость'!$D$12*(1+'Чувствительность'!$B$3))</f>
        <v/>
      </c>
      <c r="K24" s="21">
        <f>K21*('Себестоимость'!$D$12*(1+'Чувствительность'!$B$3))</f>
        <v/>
      </c>
      <c r="L24" s="21">
        <f>L21*('Себестоимость'!$D$12*(1+'Чувствительность'!$B$3))</f>
        <v/>
      </c>
      <c r="M24" s="21">
        <f>M21*('Себестоимость'!$D$12*(1+'Чувствительность'!$B$3))</f>
        <v/>
      </c>
      <c r="N24" s="21">
        <f>N21*('Себестоимость'!$D$12*(1+'Чувствительность'!$B$3))</f>
        <v/>
      </c>
      <c r="O24" s="21">
        <f>O21*('Себестоимость'!$D$12*(1+'Чувствительность'!$B$3))</f>
        <v/>
      </c>
      <c r="P24" s="21">
        <f>P21*('Себестоимость'!$D$12*(1+'Чувствительность'!$B$3))</f>
        <v/>
      </c>
      <c r="Q24" s="21">
        <f>Q21*('Себестоимость'!$D$12*(1+'Чувствительность'!$B$3))</f>
        <v/>
      </c>
      <c r="R24" s="21">
        <f>R21*('Себестоимость'!$D$12*(1+'Чувствительность'!$B$3))</f>
        <v/>
      </c>
      <c r="S24" s="21">
        <f>S21*('Себестоимость'!$D$12*(1+'Чувствительность'!$B$3))</f>
        <v/>
      </c>
      <c r="T24" s="21">
        <f>T21*('Себестоимость'!$D$12*(1+'Чувствительность'!$B$3))</f>
        <v/>
      </c>
      <c r="U24" s="21">
        <f>U21*('Себестоимость'!$D$12*(1+'Чувствительность'!$B$3))</f>
        <v/>
      </c>
      <c r="V24" s="21">
        <f>V21*('Себестоимость'!$D$12*(1+'Чувствительность'!$B$3))</f>
        <v/>
      </c>
      <c r="W24" s="21">
        <f>W21*('Себестоимость'!$D$12*(1+'Чувствительность'!$B$3))</f>
        <v/>
      </c>
      <c r="X24" s="21">
        <f>X21*('Себестоимость'!$D$12*(1+'Чувствительность'!$B$3))</f>
        <v/>
      </c>
      <c r="Y24" s="21">
        <f>Y21*('Себестоимость'!$D$12*(1+'Чувствительность'!$B$3))</f>
        <v/>
      </c>
      <c r="Z24" s="21">
        <f>Z21*('Себестоимость'!$D$12*(1+'Чувствительность'!$B$3))</f>
        <v/>
      </c>
      <c r="AA24" s="21">
        <f>AA21*('Себестоимость'!$D$12*(1+'Чувствительность'!$B$3))</f>
        <v/>
      </c>
      <c r="AB24" s="21">
        <f>AB21*('Себестоимость'!$D$12*(1+'Чувствительность'!$B$3))</f>
        <v/>
      </c>
      <c r="AC24" s="21">
        <f>AC21*('Себестоимость'!$D$12*(1+'Чувствительность'!$B$3))</f>
        <v/>
      </c>
      <c r="AD24" s="21">
        <f>AD21*('Себестоимость'!$D$12*(1+'Чувствительность'!$B$3))</f>
        <v/>
      </c>
      <c r="AE24" s="21">
        <f>AE21*('Себестоимость'!$D$12*(1+'Чувствительность'!$B$3))</f>
        <v/>
      </c>
      <c r="AF24" s="21">
        <f>AF21*('Себестоимость'!$D$12*(1+'Чувствительность'!$B$3))</f>
        <v/>
      </c>
      <c r="AG24" s="21">
        <f>AG21*('Себестоимость'!$D$12*(1+'Чувствительность'!$B$3))</f>
        <v/>
      </c>
      <c r="AH24" s="21">
        <f>AH21*('Себестоимость'!$D$12*(1+'Чувствительность'!$B$3))</f>
        <v/>
      </c>
      <c r="AI24" s="21">
        <f>AI21*('Себестоимость'!$D$12*(1+'Чувствительность'!$B$3))</f>
        <v/>
      </c>
      <c r="AJ24" s="21">
        <f>AJ21*('Себестоимость'!$D$12*(1+'Чувствительность'!$B$3))</f>
        <v/>
      </c>
      <c r="AK24" s="21">
        <f>AK21*('Себестоимость'!$D$12*(1+'Чувствительность'!$B$3))</f>
        <v/>
      </c>
      <c r="AL24" s="21">
        <f>AL21*('Себестоимость'!$D$12*(1+'Чувствительность'!$B$3))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C21*('Себестоимость'!$D$13*(1+'Чувствительность'!$B$3))</f>
        <v/>
      </c>
      <c r="D26" s="21">
        <f>D21*('Себестоимость'!$D$13*(1+'Чувствительность'!$B$3))</f>
        <v/>
      </c>
      <c r="E26" s="21">
        <f>E21*('Себестоимость'!$D$13*(1+'Чувствительность'!$B$3))</f>
        <v/>
      </c>
      <c r="F26" s="21">
        <f>F21*('Себестоимость'!$D$13*(1+'Чувствительность'!$B$3))</f>
        <v/>
      </c>
      <c r="G26" s="21">
        <f>G21*('Себестоимость'!$D$13*(1+'Чувствительность'!$B$3))</f>
        <v/>
      </c>
      <c r="H26" s="21">
        <f>H21*('Себестоимость'!$D$13*(1+'Чувствительность'!$B$3))</f>
        <v/>
      </c>
      <c r="I26" s="21">
        <f>I21*('Себестоимость'!$D$13*(1+'Чувствительность'!$B$3))</f>
        <v/>
      </c>
      <c r="J26" s="21">
        <f>J21*('Себестоимость'!$D$13*(1+'Чувствительность'!$B$3))</f>
        <v/>
      </c>
      <c r="K26" s="21">
        <f>K21*('Себестоимость'!$D$13*(1+'Чувствительность'!$B$3))</f>
        <v/>
      </c>
      <c r="L26" s="21">
        <f>L21*('Себестоимость'!$D$13*(1+'Чувствительность'!$B$3))</f>
        <v/>
      </c>
      <c r="M26" s="21">
        <f>M21*('Себестоимость'!$D$13*(1+'Чувствительность'!$B$3))</f>
        <v/>
      </c>
      <c r="N26" s="21">
        <f>N21*('Себестоимость'!$D$13*(1+'Чувствительность'!$B$3))</f>
        <v/>
      </c>
      <c r="O26" s="21">
        <f>O21*('Себестоимость'!$D$13*(1+'Чувствительность'!$B$3))</f>
        <v/>
      </c>
      <c r="P26" s="21">
        <f>P21*('Себестоимость'!$D$13*(1+'Чувствительность'!$B$3))</f>
        <v/>
      </c>
      <c r="Q26" s="21">
        <f>Q21*('Себестоимость'!$D$13*(1+'Чувствительность'!$B$3))</f>
        <v/>
      </c>
      <c r="R26" s="21">
        <f>R21*('Себестоимость'!$D$13*(1+'Чувствительность'!$B$3))</f>
        <v/>
      </c>
      <c r="S26" s="21">
        <f>S21*('Себестоимость'!$D$13*(1+'Чувствительность'!$B$3))</f>
        <v/>
      </c>
      <c r="T26" s="21">
        <f>T21*('Себестоимость'!$D$13*(1+'Чувствительность'!$B$3))</f>
        <v/>
      </c>
      <c r="U26" s="21">
        <f>U21*('Себестоимость'!$D$13*(1+'Чувствительность'!$B$3))</f>
        <v/>
      </c>
      <c r="V26" s="21">
        <f>V21*('Себестоимость'!$D$13*(1+'Чувствительность'!$B$3))</f>
        <v/>
      </c>
      <c r="W26" s="21">
        <f>W21*('Себестоимость'!$D$13*(1+'Чувствительность'!$B$3))</f>
        <v/>
      </c>
      <c r="X26" s="21">
        <f>X21*('Себестоимость'!$D$13*(1+'Чувствительность'!$B$3))</f>
        <v/>
      </c>
      <c r="Y26" s="21">
        <f>Y21*('Себестоимость'!$D$13*(1+'Чувствительность'!$B$3))</f>
        <v/>
      </c>
      <c r="Z26" s="21">
        <f>Z21*('Себестоимость'!$D$13*(1+'Чувствительность'!$B$3))</f>
        <v/>
      </c>
      <c r="AA26" s="21">
        <f>AA21*('Себестоимость'!$D$13*(1+'Чувствительность'!$B$3))</f>
        <v/>
      </c>
      <c r="AB26" s="21">
        <f>AB21*('Себестоимость'!$D$13*(1+'Чувствительность'!$B$3))</f>
        <v/>
      </c>
      <c r="AC26" s="21">
        <f>AC21*('Себестоимость'!$D$13*(1+'Чувствительность'!$B$3))</f>
        <v/>
      </c>
      <c r="AD26" s="21">
        <f>AD21*('Себестоимость'!$D$13*(1+'Чувствительность'!$B$3))</f>
        <v/>
      </c>
      <c r="AE26" s="21">
        <f>AE21*('Себестоимость'!$D$13*(1+'Чувствительность'!$B$3))</f>
        <v/>
      </c>
      <c r="AF26" s="21">
        <f>AF21*('Себестоимость'!$D$13*(1+'Чувствительность'!$B$3))</f>
        <v/>
      </c>
      <c r="AG26" s="21">
        <f>AG21*('Себестоимость'!$D$13*(1+'Чувствительность'!$B$3))</f>
        <v/>
      </c>
      <c r="AH26" s="21">
        <f>AH21*('Себестоимость'!$D$13*(1+'Чувствительность'!$B$3))</f>
        <v/>
      </c>
      <c r="AI26" s="21">
        <f>AI21*('Себестоимость'!$D$13*(1+'Чувствительность'!$B$3))</f>
        <v/>
      </c>
      <c r="AJ26" s="21">
        <f>AJ21*('Себестоимость'!$D$13*(1+'Чувствительность'!$B$3))</f>
        <v/>
      </c>
      <c r="AK26" s="21">
        <f>AK21*('Себестоимость'!$D$13*(1+'Чувствительность'!$B$3))</f>
        <v/>
      </c>
      <c r="AL26" s="21">
        <f>AL21*('Себестоимость'!$D$13*(1+'Чувствительность'!$B$3))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('Себестоимость'!$D$13*(1+'Чувствительность'!$B$3))*'Себестоимость'!$D$15/'Допущения'!$D$69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C21*('Себестоимость'!$D$14*(1-'Чувствительность'!$B$3))</f>
        <v/>
      </c>
      <c r="D30" s="21">
        <f>D21*('Себестоимость'!$D$14*(1-'Чувствительность'!$B$3))</f>
        <v/>
      </c>
      <c r="E30" s="21">
        <f>E21*('Себестоимость'!$D$14*(1-'Чувствительность'!$B$3))</f>
        <v/>
      </c>
      <c r="F30" s="21">
        <f>F21*('Себестоимость'!$D$14*(1-'Чувствительность'!$B$3))</f>
        <v/>
      </c>
      <c r="G30" s="21">
        <f>G21*('Себестоимость'!$D$14*(1-'Чувствительность'!$B$3))</f>
        <v/>
      </c>
      <c r="H30" s="21">
        <f>H21*('Себестоимость'!$D$14*(1-'Чувствительность'!$B$3))</f>
        <v/>
      </c>
      <c r="I30" s="21">
        <f>I21*('Себестоимость'!$D$14*(1-'Чувствительность'!$B$3))</f>
        <v/>
      </c>
      <c r="J30" s="21">
        <f>J21*('Себестоимость'!$D$14*(1-'Чувствительность'!$B$3))</f>
        <v/>
      </c>
      <c r="K30" s="21">
        <f>K21*('Себестоимость'!$D$14*(1-'Чувствительность'!$B$3))</f>
        <v/>
      </c>
      <c r="L30" s="21">
        <f>L21*('Себестоимость'!$D$14*(1-'Чувствительность'!$B$3))</f>
        <v/>
      </c>
      <c r="M30" s="21">
        <f>M21*('Себестоимость'!$D$14*(1-'Чувствительность'!$B$3))</f>
        <v/>
      </c>
      <c r="N30" s="21">
        <f>N21*('Себестоимость'!$D$14*(1-'Чувствительность'!$B$3))</f>
        <v/>
      </c>
      <c r="O30" s="21">
        <f>O21*('Себестоимость'!$D$14*(1-'Чувствительность'!$B$3))</f>
        <v/>
      </c>
      <c r="P30" s="21">
        <f>P21*('Себестоимость'!$D$14*(1-'Чувствительность'!$B$3))</f>
        <v/>
      </c>
      <c r="Q30" s="21">
        <f>Q21*('Себестоимость'!$D$14*(1-'Чувствительность'!$B$3))</f>
        <v/>
      </c>
      <c r="R30" s="21">
        <f>R21*('Себестоимость'!$D$14*(1-'Чувствительность'!$B$3))</f>
        <v/>
      </c>
      <c r="S30" s="21">
        <f>S21*('Себестоимость'!$D$14*(1-'Чувствительность'!$B$3))</f>
        <v/>
      </c>
      <c r="T30" s="21">
        <f>T21*('Себестоимость'!$D$14*(1-'Чувствительность'!$B$3))</f>
        <v/>
      </c>
      <c r="U30" s="21">
        <f>U21*('Себестоимость'!$D$14*(1-'Чувствительность'!$B$3))</f>
        <v/>
      </c>
      <c r="V30" s="21">
        <f>V21*('Себестоимость'!$D$14*(1-'Чувствительность'!$B$3))</f>
        <v/>
      </c>
      <c r="W30" s="21">
        <f>W21*('Себестоимость'!$D$14*(1-'Чувствительность'!$B$3))</f>
        <v/>
      </c>
      <c r="X30" s="21">
        <f>X21*('Себестоимость'!$D$14*(1-'Чувствительность'!$B$3))</f>
        <v/>
      </c>
      <c r="Y30" s="21">
        <f>Y21*('Себестоимость'!$D$14*(1-'Чувствительность'!$B$3))</f>
        <v/>
      </c>
      <c r="Z30" s="21">
        <f>Z21*('Себестоимость'!$D$14*(1-'Чувствительность'!$B$3))</f>
        <v/>
      </c>
      <c r="AA30" s="21">
        <f>AA21*('Себестоимость'!$D$14*(1-'Чувствительность'!$B$3))</f>
        <v/>
      </c>
      <c r="AB30" s="21">
        <f>AB21*('Себестоимость'!$D$14*(1-'Чувствительность'!$B$3))</f>
        <v/>
      </c>
      <c r="AC30" s="21">
        <f>AC21*('Себестоимость'!$D$14*(1-'Чувствительность'!$B$3))</f>
        <v/>
      </c>
      <c r="AD30" s="21">
        <f>AD21*('Себестоимость'!$D$14*(1-'Чувствительность'!$B$3))</f>
        <v/>
      </c>
      <c r="AE30" s="21">
        <f>AE21*('Себестоимость'!$D$14*(1-'Чувствительность'!$B$3))</f>
        <v/>
      </c>
      <c r="AF30" s="21">
        <f>AF21*('Себестоимость'!$D$14*(1-'Чувствительность'!$B$3))</f>
        <v/>
      </c>
      <c r="AG30" s="21">
        <f>AG21*('Себестоимость'!$D$14*(1-'Чувствительность'!$B$3))</f>
        <v/>
      </c>
      <c r="AH30" s="21">
        <f>AH21*('Себестоимость'!$D$14*(1-'Чувствительность'!$B$3))</f>
        <v/>
      </c>
      <c r="AI30" s="21">
        <f>AI21*('Себестоимость'!$D$14*(1-'Чувствительность'!$B$3))</f>
        <v/>
      </c>
      <c r="AJ30" s="21">
        <f>AJ21*('Себестоимость'!$D$14*(1-'Чувствительность'!$B$3))</f>
        <v/>
      </c>
      <c r="AK30" s="21">
        <f>AK21*('Себестоимость'!$D$14*(1-'Чувствительность'!$B$3))</f>
        <v/>
      </c>
      <c r="AL30" s="21">
        <f>AL21*('Себестоимость'!$D$14*(1-'Чувствительность'!$B$3))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C18*('Себестоимость'!$D$16*(1-'Чувствительность'!$B$3))+C17*'Допущения'!$D$74*('Себестоимость'!$D$7*(1-'Чувствительность'!$B$3))</f>
        <v/>
      </c>
      <c r="D31" s="21">
        <f>D18*('Себестоимость'!$D$16*(1-'Чувствительность'!$B$3))+D17*'Допущения'!$D$74*('Себестоимость'!$D$7*(1-'Чувствительность'!$B$3))</f>
        <v/>
      </c>
      <c r="E31" s="21">
        <f>E18*('Себестоимость'!$D$16*(1-'Чувствительность'!$B$3))+E17*'Допущения'!$D$74*('Себестоимость'!$D$7*(1-'Чувствительность'!$B$3))</f>
        <v/>
      </c>
      <c r="F31" s="21">
        <f>F18*('Себестоимость'!$D$16*(1-'Чувствительность'!$B$3))+F17*'Допущения'!$D$74*('Себестоимость'!$D$7*(1-'Чувствительность'!$B$3))</f>
        <v/>
      </c>
      <c r="G31" s="21">
        <f>G18*('Себестоимость'!$D$16*(1-'Чувствительность'!$B$3))+G17*'Допущения'!$D$74*('Себестоимость'!$D$7*(1-'Чувствительность'!$B$3))</f>
        <v/>
      </c>
      <c r="H31" s="21">
        <f>H18*('Себестоимость'!$D$16*(1-'Чувствительность'!$B$3))+H17*'Допущения'!$D$74*('Себестоимость'!$D$7*(1-'Чувствительность'!$B$3))</f>
        <v/>
      </c>
      <c r="I31" s="21">
        <f>I18*('Себестоимость'!$D$16*(1-'Чувствительность'!$B$3))+I17*'Допущения'!$D$74*('Себестоимость'!$D$7*(1-'Чувствительность'!$B$3))</f>
        <v/>
      </c>
      <c r="J31" s="21">
        <f>J18*('Себестоимость'!$D$16*(1-'Чувствительность'!$B$3))+J17*'Допущения'!$D$74*('Себестоимость'!$D$7*(1-'Чувствительность'!$B$3))</f>
        <v/>
      </c>
      <c r="K31" s="21">
        <f>K18*('Себестоимость'!$D$16*(1-'Чувствительность'!$B$3))+K17*'Допущения'!$D$74*('Себестоимость'!$D$7*(1-'Чувствительность'!$B$3))</f>
        <v/>
      </c>
      <c r="L31" s="21">
        <f>L18*('Себестоимость'!$D$16*(1-'Чувствительность'!$B$3))+L17*'Допущения'!$D$74*('Себестоимость'!$D$7*(1-'Чувствительность'!$B$3))</f>
        <v/>
      </c>
      <c r="M31" s="21">
        <f>M18*('Себестоимость'!$D$16*(1-'Чувствительность'!$B$3))+M17*'Допущения'!$D$74*('Себестоимость'!$D$7*(1-'Чувствительность'!$B$3))</f>
        <v/>
      </c>
      <c r="N31" s="21">
        <f>N18*('Себестоимость'!$D$16*(1-'Чувствительность'!$B$3))+N17*'Допущения'!$D$74*('Себестоимость'!$D$7*(1-'Чувствительность'!$B$3))</f>
        <v/>
      </c>
      <c r="O31" s="21">
        <f>O18*('Себестоимость'!$D$16*(1-'Чувствительность'!$B$3))+O17*'Допущения'!$D$74*('Себестоимость'!$D$7*(1-'Чувствительность'!$B$3))</f>
        <v/>
      </c>
      <c r="P31" s="21">
        <f>P18*('Себестоимость'!$D$16*(1-'Чувствительность'!$B$3))+P17*'Допущения'!$D$74*('Себестоимость'!$D$7*(1-'Чувствительность'!$B$3))</f>
        <v/>
      </c>
      <c r="Q31" s="21">
        <f>Q18*('Себестоимость'!$D$16*(1-'Чувствительность'!$B$3))+Q17*'Допущения'!$D$74*('Себестоимость'!$D$7*(1-'Чувствительность'!$B$3))</f>
        <v/>
      </c>
      <c r="R31" s="21">
        <f>R18*('Себестоимость'!$D$16*(1-'Чувствительность'!$B$3))+R17*'Допущения'!$D$74*('Себестоимость'!$D$7*(1-'Чувствительность'!$B$3))</f>
        <v/>
      </c>
      <c r="S31" s="21">
        <f>S18*('Себестоимость'!$D$16*(1-'Чувствительность'!$B$3))+S17*'Допущения'!$D$74*('Себестоимость'!$D$7*(1-'Чувствительность'!$B$3))</f>
        <v/>
      </c>
      <c r="T31" s="21">
        <f>T18*('Себестоимость'!$D$16*(1-'Чувствительность'!$B$3))+T17*'Допущения'!$D$74*('Себестоимость'!$D$7*(1-'Чувствительность'!$B$3))</f>
        <v/>
      </c>
      <c r="U31" s="21">
        <f>U18*('Себестоимость'!$D$16*(1-'Чувствительность'!$B$3))+U17*'Допущения'!$D$74*('Себестоимость'!$D$7*(1-'Чувствительность'!$B$3))</f>
        <v/>
      </c>
      <c r="V31" s="21">
        <f>V18*('Себестоимость'!$D$16*(1-'Чувствительность'!$B$3))+V17*'Допущения'!$D$74*('Себестоимость'!$D$7*(1-'Чувствительность'!$B$3))</f>
        <v/>
      </c>
      <c r="W31" s="21">
        <f>W18*('Себестоимость'!$D$16*(1-'Чувствительность'!$B$3))+W17*'Допущения'!$D$74*('Себестоимость'!$D$7*(1-'Чувствительность'!$B$3))</f>
        <v/>
      </c>
      <c r="X31" s="21">
        <f>X18*('Себестоимость'!$D$16*(1-'Чувствительность'!$B$3))+X17*'Допущения'!$D$74*('Себестоимость'!$D$7*(1-'Чувствительность'!$B$3))</f>
        <v/>
      </c>
      <c r="Y31" s="21">
        <f>Y18*('Себестоимость'!$D$16*(1-'Чувствительность'!$B$3))+Y17*'Допущения'!$D$74*('Себестоимость'!$D$7*(1-'Чувствительность'!$B$3))</f>
        <v/>
      </c>
      <c r="Z31" s="21">
        <f>Z18*('Себестоимость'!$D$16*(1-'Чувствительность'!$B$3))+Z17*'Допущения'!$D$74*('Себестоимость'!$D$7*(1-'Чувствительность'!$B$3))</f>
        <v/>
      </c>
      <c r="AA31" s="21">
        <f>AA18*('Себестоимость'!$D$16*(1-'Чувствительность'!$B$3))+AA17*'Допущения'!$D$74*('Себестоимость'!$D$7*(1-'Чувствительность'!$B$3))</f>
        <v/>
      </c>
      <c r="AB31" s="21">
        <f>AB18*('Себестоимость'!$D$16*(1-'Чувствительность'!$B$3))+AB17*'Допущения'!$D$74*('Себестоимость'!$D$7*(1-'Чувствительность'!$B$3))</f>
        <v/>
      </c>
      <c r="AC31" s="21">
        <f>AC18*('Себестоимость'!$D$16*(1-'Чувствительность'!$B$3))+AC17*'Допущения'!$D$74*('Себестоимость'!$D$7*(1-'Чувствительность'!$B$3))</f>
        <v/>
      </c>
      <c r="AD31" s="21">
        <f>AD18*('Себестоимость'!$D$16*(1-'Чувствительность'!$B$3))+AD17*'Допущения'!$D$74*('Себестоимость'!$D$7*(1-'Чувствительность'!$B$3))</f>
        <v/>
      </c>
      <c r="AE31" s="21">
        <f>AE18*('Себестоимость'!$D$16*(1-'Чувствительность'!$B$3))+AE17*'Допущения'!$D$74*('Себестоимость'!$D$7*(1-'Чувствительность'!$B$3))</f>
        <v/>
      </c>
      <c r="AF31" s="21">
        <f>AF18*('Себестоимость'!$D$16*(1-'Чувствительность'!$B$3))+AF17*'Допущения'!$D$74*('Себестоимость'!$D$7*(1-'Чувствительность'!$B$3))</f>
        <v/>
      </c>
      <c r="AG31" s="21">
        <f>AG18*('Себестоимость'!$D$16*(1-'Чувствительность'!$B$3))+AG17*'Допущения'!$D$74*('Себестоимость'!$D$7*(1-'Чувствительность'!$B$3))</f>
        <v/>
      </c>
      <c r="AH31" s="21">
        <f>AH18*('Себестоимость'!$D$16*(1-'Чувствительность'!$B$3))+AH17*'Допущения'!$D$74*('Себестоимость'!$D$7*(1-'Чувствительность'!$B$3))</f>
        <v/>
      </c>
      <c r="AI31" s="21">
        <f>AI18*('Себестоимость'!$D$16*(1-'Чувствительность'!$B$3))+AI17*'Допущения'!$D$74*('Себестоимость'!$D$7*(1-'Чувствительность'!$B$3))</f>
        <v/>
      </c>
      <c r="AJ31" s="21">
        <f>AJ18*('Себестоимость'!$D$16*(1-'Чувствительность'!$B$3))+AJ17*'Допущения'!$D$74*('Себестоимость'!$D$7*(1-'Чувствительность'!$B$3))</f>
        <v/>
      </c>
      <c r="AK31" s="21">
        <f>AK18*('Себестоимость'!$D$16*(1-'Чувствительность'!$B$3))+AK17*'Допущения'!$D$74*('Себестоимость'!$D$7*(1-'Чувствительность'!$B$3))</f>
        <v/>
      </c>
      <c r="AL31" s="21">
        <f>AL18*('Себестоимость'!$D$16*(1-'Чувствительность'!$B$3))+AL17*'Допущения'!$D$74*('Себестоимость'!$D$7*(1-'Чувствительность'!$B$3))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IF(C9=1,MIN('Допущения'!$D$63,'Допущения'!$D$61*(1+'Допущения'!$D$62)^(C6-'Допущения'!$D$9)),0)</f>
        <v/>
      </c>
      <c r="D13" s="14">
        <f>IF(D9=1,MIN('Допущения'!$D$63,'Допущения'!$D$61*(1+'Допущения'!$D$62)^(D6-'Допущения'!$D$9)),0)</f>
        <v/>
      </c>
      <c r="E13" s="14">
        <f>IF(E9=1,MIN('Допущения'!$D$63,'Допущения'!$D$61*(1+'Допущения'!$D$62)^(E6-'Допущения'!$D$9)),0)</f>
        <v/>
      </c>
      <c r="F13" s="14">
        <f>IF(F9=1,MIN('Допущения'!$D$63,'Допущения'!$D$61*(1+'Допущения'!$D$62)^(F6-'Допущения'!$D$9)),0)</f>
        <v/>
      </c>
      <c r="G13" s="14">
        <f>IF(G9=1,MIN('Допущения'!$D$63,'Допущения'!$D$61*(1+'Допущения'!$D$62)^(G6-'Допущения'!$D$9)),0)</f>
        <v/>
      </c>
      <c r="H13" s="14">
        <f>IF(H9=1,MIN('Допущения'!$D$63,'Допущения'!$D$61*(1+'Допущения'!$D$62)^(H6-'Допущения'!$D$9)),0)</f>
        <v/>
      </c>
      <c r="I13" s="14">
        <f>IF(I9=1,MIN('Допущения'!$D$63,'Допущения'!$D$61*(1+'Допущения'!$D$62)^(I6-'Допущения'!$D$9)),0)</f>
        <v/>
      </c>
      <c r="J13" s="14">
        <f>IF(J9=1,MIN('Допущения'!$D$63,'Допущения'!$D$61*(1+'Допущения'!$D$62)^(J6-'Допущения'!$D$9)),0)</f>
        <v/>
      </c>
      <c r="K13" s="14">
        <f>IF(K9=1,MIN('Допущения'!$D$63,'Допущения'!$D$61*(1+'Допущения'!$D$62)^(K6-'Допущения'!$D$9)),0)</f>
        <v/>
      </c>
      <c r="L13" s="14">
        <f>IF(L9=1,MIN('Допущения'!$D$63,'Допущения'!$D$61*(1+'Допущения'!$D$62)^(L6-'Допущения'!$D$9)),0)</f>
        <v/>
      </c>
      <c r="M13" s="14">
        <f>IF(M9=1,MIN('Допущения'!$D$63,'Допущения'!$D$61*(1+'Допущения'!$D$62)^(M6-'Допущения'!$D$9)),0)</f>
        <v/>
      </c>
      <c r="N13" s="14">
        <f>IF(N9=1,MIN('Допущения'!$D$63,'Допущения'!$D$61*(1+'Допущения'!$D$62)^(N6-'Допущения'!$D$9)),0)</f>
        <v/>
      </c>
      <c r="O13" s="14">
        <f>IF(O9=1,MIN('Допущения'!$D$63,'Допущения'!$D$61*(1+'Допущения'!$D$62)^(O6-'Допущения'!$D$9)),0)</f>
        <v/>
      </c>
      <c r="P13" s="14">
        <f>IF(P9=1,MIN('Допущения'!$D$63,'Допущения'!$D$61*(1+'Допущения'!$D$62)^(P6-'Допущения'!$D$9)),0)</f>
        <v/>
      </c>
      <c r="Q13" s="14">
        <f>IF(Q9=1,MIN('Допущения'!$D$63,'Допущения'!$D$61*(1+'Допущения'!$D$62)^(Q6-'Допущения'!$D$9)),0)</f>
        <v/>
      </c>
      <c r="R13" s="14">
        <f>IF(R9=1,MIN('Допущения'!$D$63,'Допущения'!$D$61*(1+'Допущения'!$D$62)^(R6-'Допущения'!$D$9)),0)</f>
        <v/>
      </c>
      <c r="S13" s="14">
        <f>IF(S9=1,MIN('Допущения'!$D$63,'Допущения'!$D$61*(1+'Допущения'!$D$62)^(S6-'Допущения'!$D$9)),0)</f>
        <v/>
      </c>
      <c r="T13" s="14">
        <f>IF(T9=1,MIN('Допущения'!$D$63,'Допущения'!$D$61*(1+'Допущения'!$D$62)^(T6-'Допущения'!$D$9)),0)</f>
        <v/>
      </c>
      <c r="U13" s="14">
        <f>IF(U9=1,MIN('Допущения'!$D$63,'Допущения'!$D$61*(1+'Допущения'!$D$62)^(U6-'Допущения'!$D$9)),0)</f>
        <v/>
      </c>
      <c r="V13" s="14">
        <f>IF(V9=1,MIN('Допущения'!$D$63,'Допущения'!$D$61*(1+'Допущения'!$D$62)^(V6-'Допущения'!$D$9)),0)</f>
        <v/>
      </c>
      <c r="W13" s="14">
        <f>IF(W9=1,MIN('Допущения'!$D$63,'Допущения'!$D$61*(1+'Допущения'!$D$62)^(W6-'Допущения'!$D$9)),0)</f>
        <v/>
      </c>
      <c r="X13" s="14">
        <f>IF(X9=1,MIN('Допущения'!$D$63,'Допущения'!$D$61*(1+'Допущения'!$D$62)^(X6-'Допущения'!$D$9)),0)</f>
        <v/>
      </c>
      <c r="Y13" s="14">
        <f>IF(Y9=1,MIN('Допущения'!$D$63,'Допущения'!$D$61*(1+'Допущения'!$D$62)^(Y6-'Допущения'!$D$9)),0)</f>
        <v/>
      </c>
      <c r="Z13" s="14">
        <f>IF(Z9=1,MIN('Допущения'!$D$63,'Допущения'!$D$61*(1+'Допущения'!$D$62)^(Z6-'Допущения'!$D$9)),0)</f>
        <v/>
      </c>
      <c r="AA13" s="14">
        <f>IF(AA9=1,MIN('Допущения'!$D$63,'Допущения'!$D$61*(1+'Допущения'!$D$62)^(AA6-'Допущения'!$D$9)),0)</f>
        <v/>
      </c>
      <c r="AB13" s="14">
        <f>IF(AB9=1,MIN('Допущения'!$D$63,'Допущения'!$D$61*(1+'Допущения'!$D$62)^(AB6-'Допущения'!$D$9)),0)</f>
        <v/>
      </c>
      <c r="AC13" s="14">
        <f>IF(AC9=1,MIN('Допущения'!$D$63,'Допущения'!$D$61*(1+'Допущения'!$D$62)^(AC6-'Допущения'!$D$9)),0)</f>
        <v/>
      </c>
      <c r="AD13" s="14">
        <f>IF(AD9=1,MIN('Допущения'!$D$63,'Допущения'!$D$61*(1+'Допущения'!$D$62)^(AD6-'Допущения'!$D$9)),0)</f>
        <v/>
      </c>
      <c r="AE13" s="14">
        <f>IF(AE9=1,MIN('Допущения'!$D$63,'Допущения'!$D$61*(1+'Допущения'!$D$62)^(AE6-'Допущения'!$D$9)),0)</f>
        <v/>
      </c>
      <c r="AF13" s="14">
        <f>IF(AF9=1,MIN('Допущения'!$D$63,'Допущения'!$D$61*(1+'Допущения'!$D$62)^(AF6-'Допущения'!$D$9)),0)</f>
        <v/>
      </c>
      <c r="AG13" s="14">
        <f>IF(AG9=1,MIN('Допущения'!$D$63,'Допущения'!$D$61*(1+'Допущения'!$D$62)^(AG6-'Допущения'!$D$9)),0)</f>
        <v/>
      </c>
      <c r="AH13" s="14">
        <f>IF(AH9=1,MIN('Допущения'!$D$63,'Допущения'!$D$61*(1+'Допущения'!$D$62)^(AH6-'Допущения'!$D$9)),0)</f>
        <v/>
      </c>
      <c r="AI13" s="14">
        <f>IF(AI9=1,MIN('Допущения'!$D$63,'Допущения'!$D$61*(1+'Допущения'!$D$62)^(AI6-'Допущения'!$D$9)),0)</f>
        <v/>
      </c>
      <c r="AJ13" s="14">
        <f>IF(AJ9=1,MIN('Допущения'!$D$63,'Допущения'!$D$61*(1+'Допущения'!$D$62)^(AJ6-'Допущения'!$D$9)),0)</f>
        <v/>
      </c>
      <c r="AK13" s="14">
        <f>IF(AK9=1,MIN('Допущения'!$D$63,'Допущения'!$D$61*(1+'Допущения'!$D$62)^(AK6-'Допущения'!$D$9)),0)</f>
        <v/>
      </c>
      <c r="AL13" s="14">
        <f>IF(AL9=1,MIN('Допущения'!$D$63,'Допущения'!$D$61*(1+'Допущения'!$D$62)^(AL6-'Допущения'!$D$9)),0)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C21*('Себестоимость'!$D$14*(1+'Чувствительность'!$B$3))</f>
        <v/>
      </c>
      <c r="D30" s="21">
        <f>D21*('Себестоимость'!$D$14*(1+'Чувствительность'!$B$3))</f>
        <v/>
      </c>
      <c r="E30" s="21">
        <f>E21*('Себестоимость'!$D$14*(1+'Чувствительность'!$B$3))</f>
        <v/>
      </c>
      <c r="F30" s="21">
        <f>F21*('Себестоимость'!$D$14*(1+'Чувствительность'!$B$3))</f>
        <v/>
      </c>
      <c r="G30" s="21">
        <f>G21*('Себестоимость'!$D$14*(1+'Чувствительность'!$B$3))</f>
        <v/>
      </c>
      <c r="H30" s="21">
        <f>H21*('Себестоимость'!$D$14*(1+'Чувствительность'!$B$3))</f>
        <v/>
      </c>
      <c r="I30" s="21">
        <f>I21*('Себестоимость'!$D$14*(1+'Чувствительность'!$B$3))</f>
        <v/>
      </c>
      <c r="J30" s="21">
        <f>J21*('Себестоимость'!$D$14*(1+'Чувствительность'!$B$3))</f>
        <v/>
      </c>
      <c r="K30" s="21">
        <f>K21*('Себестоимость'!$D$14*(1+'Чувствительность'!$B$3))</f>
        <v/>
      </c>
      <c r="L30" s="21">
        <f>L21*('Себестоимость'!$D$14*(1+'Чувствительность'!$B$3))</f>
        <v/>
      </c>
      <c r="M30" s="21">
        <f>M21*('Себестоимость'!$D$14*(1+'Чувствительность'!$B$3))</f>
        <v/>
      </c>
      <c r="N30" s="21">
        <f>N21*('Себестоимость'!$D$14*(1+'Чувствительность'!$B$3))</f>
        <v/>
      </c>
      <c r="O30" s="21">
        <f>O21*('Себестоимость'!$D$14*(1+'Чувствительность'!$B$3))</f>
        <v/>
      </c>
      <c r="P30" s="21">
        <f>P21*('Себестоимость'!$D$14*(1+'Чувствительность'!$B$3))</f>
        <v/>
      </c>
      <c r="Q30" s="21">
        <f>Q21*('Себестоимость'!$D$14*(1+'Чувствительность'!$B$3))</f>
        <v/>
      </c>
      <c r="R30" s="21">
        <f>R21*('Себестоимость'!$D$14*(1+'Чувствительность'!$B$3))</f>
        <v/>
      </c>
      <c r="S30" s="21">
        <f>S21*('Себестоимость'!$D$14*(1+'Чувствительность'!$B$3))</f>
        <v/>
      </c>
      <c r="T30" s="21">
        <f>T21*('Себестоимость'!$D$14*(1+'Чувствительность'!$B$3))</f>
        <v/>
      </c>
      <c r="U30" s="21">
        <f>U21*('Себестоимость'!$D$14*(1+'Чувствительность'!$B$3))</f>
        <v/>
      </c>
      <c r="V30" s="21">
        <f>V21*('Себестоимость'!$D$14*(1+'Чувствительность'!$B$3))</f>
        <v/>
      </c>
      <c r="W30" s="21">
        <f>W21*('Себестоимость'!$D$14*(1+'Чувствительность'!$B$3))</f>
        <v/>
      </c>
      <c r="X30" s="21">
        <f>X21*('Себестоимость'!$D$14*(1+'Чувствительность'!$B$3))</f>
        <v/>
      </c>
      <c r="Y30" s="21">
        <f>Y21*('Себестоимость'!$D$14*(1+'Чувствительность'!$B$3))</f>
        <v/>
      </c>
      <c r="Z30" s="21">
        <f>Z21*('Себестоимость'!$D$14*(1+'Чувствительность'!$B$3))</f>
        <v/>
      </c>
      <c r="AA30" s="21">
        <f>AA21*('Себестоимость'!$D$14*(1+'Чувствительность'!$B$3))</f>
        <v/>
      </c>
      <c r="AB30" s="21">
        <f>AB21*('Себестоимость'!$D$14*(1+'Чувствительность'!$B$3))</f>
        <v/>
      </c>
      <c r="AC30" s="21">
        <f>AC21*('Себестоимость'!$D$14*(1+'Чувствительность'!$B$3))</f>
        <v/>
      </c>
      <c r="AD30" s="21">
        <f>AD21*('Себестоимость'!$D$14*(1+'Чувствительность'!$B$3))</f>
        <v/>
      </c>
      <c r="AE30" s="21">
        <f>AE21*('Себестоимость'!$D$14*(1+'Чувствительность'!$B$3))</f>
        <v/>
      </c>
      <c r="AF30" s="21">
        <f>AF21*('Себестоимость'!$D$14*(1+'Чувствительность'!$B$3))</f>
        <v/>
      </c>
      <c r="AG30" s="21">
        <f>AG21*('Себестоимость'!$D$14*(1+'Чувствительность'!$B$3))</f>
        <v/>
      </c>
      <c r="AH30" s="21">
        <f>AH21*('Себестоимость'!$D$14*(1+'Чувствительность'!$B$3))</f>
        <v/>
      </c>
      <c r="AI30" s="21">
        <f>AI21*('Себестоимость'!$D$14*(1+'Чувствительность'!$B$3))</f>
        <v/>
      </c>
      <c r="AJ30" s="21">
        <f>AJ21*('Себестоимость'!$D$14*(1+'Чувствительность'!$B$3))</f>
        <v/>
      </c>
      <c r="AK30" s="21">
        <f>AK21*('Себестоимость'!$D$14*(1+'Чувствительность'!$B$3))</f>
        <v/>
      </c>
      <c r="AL30" s="21">
        <f>AL21*('Себестоимость'!$D$14*(1+'Чувствительность'!$B$3))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C18*('Себестоимость'!$D$16*(1+'Чувствительность'!$B$3))+C17*'Допущения'!$D$74*('Себестоимость'!$D$7*(1+'Чувствительность'!$B$3))</f>
        <v/>
      </c>
      <c r="D31" s="21">
        <f>D18*('Себестоимость'!$D$16*(1+'Чувствительность'!$B$3))+D17*'Допущения'!$D$74*('Себестоимость'!$D$7*(1+'Чувствительность'!$B$3))</f>
        <v/>
      </c>
      <c r="E31" s="21">
        <f>E18*('Себестоимость'!$D$16*(1+'Чувствительность'!$B$3))+E17*'Допущения'!$D$74*('Себестоимость'!$D$7*(1+'Чувствительность'!$B$3))</f>
        <v/>
      </c>
      <c r="F31" s="21">
        <f>F18*('Себестоимость'!$D$16*(1+'Чувствительность'!$B$3))+F17*'Допущения'!$D$74*('Себестоимость'!$D$7*(1+'Чувствительность'!$B$3))</f>
        <v/>
      </c>
      <c r="G31" s="21">
        <f>G18*('Себестоимость'!$D$16*(1+'Чувствительность'!$B$3))+G17*'Допущения'!$D$74*('Себестоимость'!$D$7*(1+'Чувствительность'!$B$3))</f>
        <v/>
      </c>
      <c r="H31" s="21">
        <f>H18*('Себестоимость'!$D$16*(1+'Чувствительность'!$B$3))+H17*'Допущения'!$D$74*('Себестоимость'!$D$7*(1+'Чувствительность'!$B$3))</f>
        <v/>
      </c>
      <c r="I31" s="21">
        <f>I18*('Себестоимость'!$D$16*(1+'Чувствительность'!$B$3))+I17*'Допущения'!$D$74*('Себестоимость'!$D$7*(1+'Чувствительность'!$B$3))</f>
        <v/>
      </c>
      <c r="J31" s="21">
        <f>J18*('Себестоимость'!$D$16*(1+'Чувствительность'!$B$3))+J17*'Допущения'!$D$74*('Себестоимость'!$D$7*(1+'Чувствительность'!$B$3))</f>
        <v/>
      </c>
      <c r="K31" s="21">
        <f>K18*('Себестоимость'!$D$16*(1+'Чувствительность'!$B$3))+K17*'Допущения'!$D$74*('Себестоимость'!$D$7*(1+'Чувствительность'!$B$3))</f>
        <v/>
      </c>
      <c r="L31" s="21">
        <f>L18*('Себестоимость'!$D$16*(1+'Чувствительность'!$B$3))+L17*'Допущения'!$D$74*('Себестоимость'!$D$7*(1+'Чувствительность'!$B$3))</f>
        <v/>
      </c>
      <c r="M31" s="21">
        <f>M18*('Себестоимость'!$D$16*(1+'Чувствительность'!$B$3))+M17*'Допущения'!$D$74*('Себестоимость'!$D$7*(1+'Чувствительность'!$B$3))</f>
        <v/>
      </c>
      <c r="N31" s="21">
        <f>N18*('Себестоимость'!$D$16*(1+'Чувствительность'!$B$3))+N17*'Допущения'!$D$74*('Себестоимость'!$D$7*(1+'Чувствительность'!$B$3))</f>
        <v/>
      </c>
      <c r="O31" s="21">
        <f>O18*('Себестоимость'!$D$16*(1+'Чувствительность'!$B$3))+O17*'Допущения'!$D$74*('Себестоимость'!$D$7*(1+'Чувствительность'!$B$3))</f>
        <v/>
      </c>
      <c r="P31" s="21">
        <f>P18*('Себестоимость'!$D$16*(1+'Чувствительность'!$B$3))+P17*'Допущения'!$D$74*('Себестоимость'!$D$7*(1+'Чувствительность'!$B$3))</f>
        <v/>
      </c>
      <c r="Q31" s="21">
        <f>Q18*('Себестоимость'!$D$16*(1+'Чувствительность'!$B$3))+Q17*'Допущения'!$D$74*('Себестоимость'!$D$7*(1+'Чувствительность'!$B$3))</f>
        <v/>
      </c>
      <c r="R31" s="21">
        <f>R18*('Себестоимость'!$D$16*(1+'Чувствительность'!$B$3))+R17*'Допущения'!$D$74*('Себестоимость'!$D$7*(1+'Чувствительность'!$B$3))</f>
        <v/>
      </c>
      <c r="S31" s="21">
        <f>S18*('Себестоимость'!$D$16*(1+'Чувствительность'!$B$3))+S17*'Допущения'!$D$74*('Себестоимость'!$D$7*(1+'Чувствительность'!$B$3))</f>
        <v/>
      </c>
      <c r="T31" s="21">
        <f>T18*('Себестоимость'!$D$16*(1+'Чувствительность'!$B$3))+T17*'Допущения'!$D$74*('Себестоимость'!$D$7*(1+'Чувствительность'!$B$3))</f>
        <v/>
      </c>
      <c r="U31" s="21">
        <f>U18*('Себестоимость'!$D$16*(1+'Чувствительность'!$B$3))+U17*'Допущения'!$D$74*('Себестоимость'!$D$7*(1+'Чувствительность'!$B$3))</f>
        <v/>
      </c>
      <c r="V31" s="21">
        <f>V18*('Себестоимость'!$D$16*(1+'Чувствительность'!$B$3))+V17*'Допущения'!$D$74*('Себестоимость'!$D$7*(1+'Чувствительность'!$B$3))</f>
        <v/>
      </c>
      <c r="W31" s="21">
        <f>W18*('Себестоимость'!$D$16*(1+'Чувствительность'!$B$3))+W17*'Допущения'!$D$74*('Себестоимость'!$D$7*(1+'Чувствительность'!$B$3))</f>
        <v/>
      </c>
      <c r="X31" s="21">
        <f>X18*('Себестоимость'!$D$16*(1+'Чувствительность'!$B$3))+X17*'Допущения'!$D$74*('Себестоимость'!$D$7*(1+'Чувствительность'!$B$3))</f>
        <v/>
      </c>
      <c r="Y31" s="21">
        <f>Y18*('Себестоимость'!$D$16*(1+'Чувствительность'!$B$3))+Y17*'Допущения'!$D$74*('Себестоимость'!$D$7*(1+'Чувствительность'!$B$3))</f>
        <v/>
      </c>
      <c r="Z31" s="21">
        <f>Z18*('Себестоимость'!$D$16*(1+'Чувствительность'!$B$3))+Z17*'Допущения'!$D$74*('Себестоимость'!$D$7*(1+'Чувствительность'!$B$3))</f>
        <v/>
      </c>
      <c r="AA31" s="21">
        <f>AA18*('Себестоимость'!$D$16*(1+'Чувствительность'!$B$3))+AA17*'Допущения'!$D$74*('Себестоимость'!$D$7*(1+'Чувствительность'!$B$3))</f>
        <v/>
      </c>
      <c r="AB31" s="21">
        <f>AB18*('Себестоимость'!$D$16*(1+'Чувствительность'!$B$3))+AB17*'Допущения'!$D$74*('Себестоимость'!$D$7*(1+'Чувствительность'!$B$3))</f>
        <v/>
      </c>
      <c r="AC31" s="21">
        <f>AC18*('Себестоимость'!$D$16*(1+'Чувствительность'!$B$3))+AC17*'Допущения'!$D$74*('Себестоимость'!$D$7*(1+'Чувствительность'!$B$3))</f>
        <v/>
      </c>
      <c r="AD31" s="21">
        <f>AD18*('Себестоимость'!$D$16*(1+'Чувствительность'!$B$3))+AD17*'Допущения'!$D$74*('Себестоимость'!$D$7*(1+'Чувствительность'!$B$3))</f>
        <v/>
      </c>
      <c r="AE31" s="21">
        <f>AE18*('Себестоимость'!$D$16*(1+'Чувствительность'!$B$3))+AE17*'Допущения'!$D$74*('Себестоимость'!$D$7*(1+'Чувствительность'!$B$3))</f>
        <v/>
      </c>
      <c r="AF31" s="21">
        <f>AF18*('Себестоимость'!$D$16*(1+'Чувствительность'!$B$3))+AF17*'Допущения'!$D$74*('Себестоимость'!$D$7*(1+'Чувствительность'!$B$3))</f>
        <v/>
      </c>
      <c r="AG31" s="21">
        <f>AG18*('Себестоимость'!$D$16*(1+'Чувствительность'!$B$3))+AG17*'Допущения'!$D$74*('Себестоимость'!$D$7*(1+'Чувствительность'!$B$3))</f>
        <v/>
      </c>
      <c r="AH31" s="21">
        <f>AH18*('Себестоимость'!$D$16*(1+'Чувствительность'!$B$3))+AH17*'Допущения'!$D$74*('Себестоимость'!$D$7*(1+'Чувствительность'!$B$3))</f>
        <v/>
      </c>
      <c r="AI31" s="21">
        <f>AI18*('Себестоимость'!$D$16*(1+'Чувствительность'!$B$3))+AI17*'Допущения'!$D$74*('Себестоимость'!$D$7*(1+'Чувствительность'!$B$3))</f>
        <v/>
      </c>
      <c r="AJ31" s="21">
        <f>AJ18*('Себестоимость'!$D$16*(1+'Чувствительность'!$B$3))+AJ17*'Допущения'!$D$74*('Себестоимость'!$D$7*(1+'Чувствительность'!$B$3))</f>
        <v/>
      </c>
      <c r="AK31" s="21">
        <f>AK18*('Себестоимость'!$D$16*(1+'Чувствительность'!$B$3))+AK17*'Допущения'!$D$74*('Себестоимость'!$D$7*(1+'Чувствительность'!$B$3))</f>
        <v/>
      </c>
      <c r="AL31" s="21">
        <f>AL18*('Себестоимость'!$D$16*(1+'Чувствительность'!$B$3))+AL17*'Допущения'!$D$74*('Себестоимость'!$D$7*(1+'Чувствительность'!$B$3))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IF(C9=1,MIN('Допущения'!$D$63,('Допущения'!$D$61*(1-'Чувствительность'!$B$3))*(1+'Допущения'!$D$62)^(C6-'Допущения'!$D$9)),0)</f>
        <v/>
      </c>
      <c r="D13" s="14">
        <f>IF(D9=1,MIN('Допущения'!$D$63,('Допущения'!$D$61*(1-'Чувствительность'!$B$3))*(1+'Допущения'!$D$62)^(D6-'Допущения'!$D$9)),0)</f>
        <v/>
      </c>
      <c r="E13" s="14">
        <f>IF(E9=1,MIN('Допущения'!$D$63,('Допущения'!$D$61*(1-'Чувствительность'!$B$3))*(1+'Допущения'!$D$62)^(E6-'Допущения'!$D$9)),0)</f>
        <v/>
      </c>
      <c r="F13" s="14">
        <f>IF(F9=1,MIN('Допущения'!$D$63,('Допущения'!$D$61*(1-'Чувствительность'!$B$3))*(1+'Допущения'!$D$62)^(F6-'Допущения'!$D$9)),0)</f>
        <v/>
      </c>
      <c r="G13" s="14">
        <f>IF(G9=1,MIN('Допущения'!$D$63,('Допущения'!$D$61*(1-'Чувствительность'!$B$3))*(1+'Допущения'!$D$62)^(G6-'Допущения'!$D$9)),0)</f>
        <v/>
      </c>
      <c r="H13" s="14">
        <f>IF(H9=1,MIN('Допущения'!$D$63,('Допущения'!$D$61*(1-'Чувствительность'!$B$3))*(1+'Допущения'!$D$62)^(H6-'Допущения'!$D$9)),0)</f>
        <v/>
      </c>
      <c r="I13" s="14">
        <f>IF(I9=1,MIN('Допущения'!$D$63,('Допущения'!$D$61*(1-'Чувствительность'!$B$3))*(1+'Допущения'!$D$62)^(I6-'Допущения'!$D$9)),0)</f>
        <v/>
      </c>
      <c r="J13" s="14">
        <f>IF(J9=1,MIN('Допущения'!$D$63,('Допущения'!$D$61*(1-'Чувствительность'!$B$3))*(1+'Допущения'!$D$62)^(J6-'Допущения'!$D$9)),0)</f>
        <v/>
      </c>
      <c r="K13" s="14">
        <f>IF(K9=1,MIN('Допущения'!$D$63,('Допущения'!$D$61*(1-'Чувствительность'!$B$3))*(1+'Допущения'!$D$62)^(K6-'Допущения'!$D$9)),0)</f>
        <v/>
      </c>
      <c r="L13" s="14">
        <f>IF(L9=1,MIN('Допущения'!$D$63,('Допущения'!$D$61*(1-'Чувствительность'!$B$3))*(1+'Допущения'!$D$62)^(L6-'Допущения'!$D$9)),0)</f>
        <v/>
      </c>
      <c r="M13" s="14">
        <f>IF(M9=1,MIN('Допущения'!$D$63,('Допущения'!$D$61*(1-'Чувствительность'!$B$3))*(1+'Допущения'!$D$62)^(M6-'Допущения'!$D$9)),0)</f>
        <v/>
      </c>
      <c r="N13" s="14">
        <f>IF(N9=1,MIN('Допущения'!$D$63,('Допущения'!$D$61*(1-'Чувствительность'!$B$3))*(1+'Допущения'!$D$62)^(N6-'Допущения'!$D$9)),0)</f>
        <v/>
      </c>
      <c r="O13" s="14">
        <f>IF(O9=1,MIN('Допущения'!$D$63,('Допущения'!$D$61*(1-'Чувствительность'!$B$3))*(1+'Допущения'!$D$62)^(O6-'Допущения'!$D$9)),0)</f>
        <v/>
      </c>
      <c r="P13" s="14">
        <f>IF(P9=1,MIN('Допущения'!$D$63,('Допущения'!$D$61*(1-'Чувствительность'!$B$3))*(1+'Допущения'!$D$62)^(P6-'Допущения'!$D$9)),0)</f>
        <v/>
      </c>
      <c r="Q13" s="14">
        <f>IF(Q9=1,MIN('Допущения'!$D$63,('Допущения'!$D$61*(1-'Чувствительность'!$B$3))*(1+'Допущения'!$D$62)^(Q6-'Допущения'!$D$9)),0)</f>
        <v/>
      </c>
      <c r="R13" s="14">
        <f>IF(R9=1,MIN('Допущения'!$D$63,('Допущения'!$D$61*(1-'Чувствительность'!$B$3))*(1+'Допущения'!$D$62)^(R6-'Допущения'!$D$9)),0)</f>
        <v/>
      </c>
      <c r="S13" s="14">
        <f>IF(S9=1,MIN('Допущения'!$D$63,('Допущения'!$D$61*(1-'Чувствительность'!$B$3))*(1+'Допущения'!$D$62)^(S6-'Допущения'!$D$9)),0)</f>
        <v/>
      </c>
      <c r="T13" s="14">
        <f>IF(T9=1,MIN('Допущения'!$D$63,('Допущения'!$D$61*(1-'Чувствительность'!$B$3))*(1+'Допущения'!$D$62)^(T6-'Допущения'!$D$9)),0)</f>
        <v/>
      </c>
      <c r="U13" s="14">
        <f>IF(U9=1,MIN('Допущения'!$D$63,('Допущения'!$D$61*(1-'Чувствительность'!$B$3))*(1+'Допущения'!$D$62)^(U6-'Допущения'!$D$9)),0)</f>
        <v/>
      </c>
      <c r="V13" s="14">
        <f>IF(V9=1,MIN('Допущения'!$D$63,('Допущения'!$D$61*(1-'Чувствительность'!$B$3))*(1+'Допущения'!$D$62)^(V6-'Допущения'!$D$9)),0)</f>
        <v/>
      </c>
      <c r="W13" s="14">
        <f>IF(W9=1,MIN('Допущения'!$D$63,('Допущения'!$D$61*(1-'Чувствительность'!$B$3))*(1+'Допущения'!$D$62)^(W6-'Допущения'!$D$9)),0)</f>
        <v/>
      </c>
      <c r="X13" s="14">
        <f>IF(X9=1,MIN('Допущения'!$D$63,('Допущения'!$D$61*(1-'Чувствительность'!$B$3))*(1+'Допущения'!$D$62)^(X6-'Допущения'!$D$9)),0)</f>
        <v/>
      </c>
      <c r="Y13" s="14">
        <f>IF(Y9=1,MIN('Допущения'!$D$63,('Допущения'!$D$61*(1-'Чувствительность'!$B$3))*(1+'Допущения'!$D$62)^(Y6-'Допущения'!$D$9)),0)</f>
        <v/>
      </c>
      <c r="Z13" s="14">
        <f>IF(Z9=1,MIN('Допущения'!$D$63,('Допущения'!$D$61*(1-'Чувствительность'!$B$3))*(1+'Допущения'!$D$62)^(Z6-'Допущения'!$D$9)),0)</f>
        <v/>
      </c>
      <c r="AA13" s="14">
        <f>IF(AA9=1,MIN('Допущения'!$D$63,('Допущения'!$D$61*(1-'Чувствительность'!$B$3))*(1+'Допущения'!$D$62)^(AA6-'Допущения'!$D$9)),0)</f>
        <v/>
      </c>
      <c r="AB13" s="14">
        <f>IF(AB9=1,MIN('Допущения'!$D$63,('Допущения'!$D$61*(1-'Чувствительность'!$B$3))*(1+'Допущения'!$D$62)^(AB6-'Допущения'!$D$9)),0)</f>
        <v/>
      </c>
      <c r="AC13" s="14">
        <f>IF(AC9=1,MIN('Допущения'!$D$63,('Допущения'!$D$61*(1-'Чувствительность'!$B$3))*(1+'Допущения'!$D$62)^(AC6-'Допущения'!$D$9)),0)</f>
        <v/>
      </c>
      <c r="AD13" s="14">
        <f>IF(AD9=1,MIN('Допущения'!$D$63,('Допущения'!$D$61*(1-'Чувствительность'!$B$3))*(1+'Допущения'!$D$62)^(AD6-'Допущения'!$D$9)),0)</f>
        <v/>
      </c>
      <c r="AE13" s="14">
        <f>IF(AE9=1,MIN('Допущения'!$D$63,('Допущения'!$D$61*(1-'Чувствительность'!$B$3))*(1+'Допущения'!$D$62)^(AE6-'Допущения'!$D$9)),0)</f>
        <v/>
      </c>
      <c r="AF13" s="14">
        <f>IF(AF9=1,MIN('Допущения'!$D$63,('Допущения'!$D$61*(1-'Чувствительность'!$B$3))*(1+'Допущения'!$D$62)^(AF6-'Допущения'!$D$9)),0)</f>
        <v/>
      </c>
      <c r="AG13" s="14">
        <f>IF(AG9=1,MIN('Допущения'!$D$63,('Допущения'!$D$61*(1-'Чувствительность'!$B$3))*(1+'Допущения'!$D$62)^(AG6-'Допущения'!$D$9)),0)</f>
        <v/>
      </c>
      <c r="AH13" s="14">
        <f>IF(AH9=1,MIN('Допущения'!$D$63,('Допущения'!$D$61*(1-'Чувствительность'!$B$3))*(1+'Допущения'!$D$62)^(AH6-'Допущения'!$D$9)),0)</f>
        <v/>
      </c>
      <c r="AI13" s="14">
        <f>IF(AI9=1,MIN('Допущения'!$D$63,('Допущения'!$D$61*(1-'Чувствительность'!$B$3))*(1+'Допущения'!$D$62)^(AI6-'Допущения'!$D$9)),0)</f>
        <v/>
      </c>
      <c r="AJ13" s="14">
        <f>IF(AJ9=1,MIN('Допущения'!$D$63,('Допущения'!$D$61*(1-'Чувствительность'!$B$3))*(1+'Допущения'!$D$62)^(AJ6-'Допущения'!$D$9)),0)</f>
        <v/>
      </c>
      <c r="AK13" s="14">
        <f>IF(AK9=1,MIN('Допущения'!$D$63,('Допущения'!$D$61*(1-'Чувствительность'!$B$3))*(1+'Допущения'!$D$62)^(AK6-'Допущения'!$D$9)),0)</f>
        <v/>
      </c>
      <c r="AL13" s="14">
        <f>IF(AL9=1,MIN('Допущения'!$D$63,('Допущения'!$D$61*(1-'Чувствительность'!$B$3))*(1+'Допущения'!$D$62)^(AL6-'Допущения'!$D$9)),0)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L9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</cols>
  <sheetData>
    <row r="1">
      <c r="A1" s="1" t="inlineStr">
        <is>
          <t>Финмодель на 36 месяцев — сценарий: Базовый</t>
        </is>
      </c>
    </row>
    <row r="2">
      <c r="A2" s="2" t="inlineStr">
        <is>
          <t>Все значения считаются формулами из листов «Допущения», «Себестоимость», «Старт».</t>
        </is>
      </c>
    </row>
    <row r="3"/>
    <row r="4"/>
    <row r="5">
      <c r="B5" s="35" t="inlineStr">
        <is>
          <t>Итого / знач.</t>
        </is>
      </c>
    </row>
    <row r="6">
      <c r="A6" s="6" t="inlineStr">
        <is>
          <t>Месяц №</t>
        </is>
      </c>
      <c r="C6" s="11" t="n">
        <v>1</v>
      </c>
      <c r="D6" s="11" t="n">
        <v>2</v>
      </c>
      <c r="E6" s="11" t="n">
        <v>3</v>
      </c>
      <c r="F6" s="11" t="n">
        <v>4</v>
      </c>
      <c r="G6" s="11" t="n">
        <v>5</v>
      </c>
      <c r="H6" s="11" t="n">
        <v>6</v>
      </c>
      <c r="I6" s="11" t="n">
        <v>7</v>
      </c>
      <c r="J6" s="11" t="n">
        <v>8</v>
      </c>
      <c r="K6" s="11" t="n">
        <v>9</v>
      </c>
      <c r="L6" s="11" t="n">
        <v>10</v>
      </c>
      <c r="M6" s="11" t="n">
        <v>11</v>
      </c>
      <c r="N6" s="11" t="n">
        <v>12</v>
      </c>
      <c r="O6" s="11" t="n">
        <v>13</v>
      </c>
      <c r="P6" s="11" t="n">
        <v>14</v>
      </c>
      <c r="Q6" s="11" t="n">
        <v>15</v>
      </c>
      <c r="R6" s="11" t="n">
        <v>16</v>
      </c>
      <c r="S6" s="11" t="n">
        <v>17</v>
      </c>
      <c r="T6" s="11" t="n">
        <v>18</v>
      </c>
      <c r="U6" s="11" t="n">
        <v>19</v>
      </c>
      <c r="V6" s="11" t="n">
        <v>20</v>
      </c>
      <c r="W6" s="11" t="n">
        <v>21</v>
      </c>
      <c r="X6" s="11" t="n">
        <v>22</v>
      </c>
      <c r="Y6" s="11" t="n">
        <v>23</v>
      </c>
      <c r="Z6" s="11" t="n">
        <v>24</v>
      </c>
      <c r="AA6" s="11" t="n">
        <v>25</v>
      </c>
      <c r="AB6" s="11" t="n">
        <v>26</v>
      </c>
      <c r="AC6" s="11" t="n">
        <v>27</v>
      </c>
      <c r="AD6" s="11" t="n">
        <v>28</v>
      </c>
      <c r="AE6" s="11" t="n">
        <v>29</v>
      </c>
      <c r="AF6" s="11" t="n">
        <v>30</v>
      </c>
      <c r="AG6" s="11" t="n">
        <v>31</v>
      </c>
      <c r="AH6" s="11" t="n">
        <v>32</v>
      </c>
      <c r="AI6" s="11" t="n">
        <v>33</v>
      </c>
      <c r="AJ6" s="11" t="n">
        <v>34</v>
      </c>
      <c r="AK6" s="11" t="n">
        <v>35</v>
      </c>
      <c r="AL6" s="11" t="n">
        <v>36</v>
      </c>
    </row>
    <row r="7">
      <c r="A7" s="6" t="inlineStr">
        <is>
          <t>Месяц</t>
        </is>
      </c>
      <c r="C7" s="47" t="inlineStr">
        <is>
          <t>ноя 2026</t>
        </is>
      </c>
      <c r="D7" s="47" t="inlineStr">
        <is>
          <t>дек 2026</t>
        </is>
      </c>
      <c r="E7" s="47" t="inlineStr">
        <is>
          <t>янв 2027</t>
        </is>
      </c>
      <c r="F7" s="47" t="inlineStr">
        <is>
          <t>фев 2027</t>
        </is>
      </c>
      <c r="G7" s="47" t="inlineStr">
        <is>
          <t>мар 2027</t>
        </is>
      </c>
      <c r="H7" s="47" t="inlineStr">
        <is>
          <t>апр 2027</t>
        </is>
      </c>
      <c r="I7" s="47" t="inlineStr">
        <is>
          <t>май 2027</t>
        </is>
      </c>
      <c r="J7" s="47" t="inlineStr">
        <is>
          <t>июн 2027</t>
        </is>
      </c>
      <c r="K7" s="47" t="inlineStr">
        <is>
          <t>июл 2027</t>
        </is>
      </c>
      <c r="L7" s="47" t="inlineStr">
        <is>
          <t>авг 2027</t>
        </is>
      </c>
      <c r="M7" s="47" t="inlineStr">
        <is>
          <t>сен 2027</t>
        </is>
      </c>
      <c r="N7" s="47" t="inlineStr">
        <is>
          <t>окт 2027</t>
        </is>
      </c>
      <c r="O7" s="47" t="inlineStr">
        <is>
          <t>ноя 2027</t>
        </is>
      </c>
      <c r="P7" s="47" t="inlineStr">
        <is>
          <t>дек 2027</t>
        </is>
      </c>
      <c r="Q7" s="47" t="inlineStr">
        <is>
          <t>янв 2028</t>
        </is>
      </c>
      <c r="R7" s="47" t="inlineStr">
        <is>
          <t>фев 2028</t>
        </is>
      </c>
      <c r="S7" s="47" t="inlineStr">
        <is>
          <t>мар 2028</t>
        </is>
      </c>
      <c r="T7" s="47" t="inlineStr">
        <is>
          <t>апр 2028</t>
        </is>
      </c>
      <c r="U7" s="47" t="inlineStr">
        <is>
          <t>май 2028</t>
        </is>
      </c>
      <c r="V7" s="47" t="inlineStr">
        <is>
          <t>июн 2028</t>
        </is>
      </c>
      <c r="W7" s="47" t="inlineStr">
        <is>
          <t>июл 2028</t>
        </is>
      </c>
      <c r="X7" s="47" t="inlineStr">
        <is>
          <t>авг 2028</t>
        </is>
      </c>
      <c r="Y7" s="47" t="inlineStr">
        <is>
          <t>сен 2028</t>
        </is>
      </c>
      <c r="Z7" s="47" t="inlineStr">
        <is>
          <t>окт 2028</t>
        </is>
      </c>
      <c r="AA7" s="47" t="inlineStr">
        <is>
          <t>ноя 2028</t>
        </is>
      </c>
      <c r="AB7" s="47" t="inlineStr">
        <is>
          <t>дек 2028</t>
        </is>
      </c>
      <c r="AC7" s="47" t="inlineStr">
        <is>
          <t>янв 2029</t>
        </is>
      </c>
      <c r="AD7" s="47" t="inlineStr">
        <is>
          <t>фев 2029</t>
        </is>
      </c>
      <c r="AE7" s="47" t="inlineStr">
        <is>
          <t>мар 2029</t>
        </is>
      </c>
      <c r="AF7" s="47" t="inlineStr">
        <is>
          <t>апр 2029</t>
        </is>
      </c>
      <c r="AG7" s="47" t="inlineStr">
        <is>
          <t>май 2029</t>
        </is>
      </c>
      <c r="AH7" s="47" t="inlineStr">
        <is>
          <t>июн 2029</t>
        </is>
      </c>
      <c r="AI7" s="47" t="inlineStr">
        <is>
          <t>июл 2029</t>
        </is>
      </c>
      <c r="AJ7" s="47" t="inlineStr">
        <is>
          <t>авг 2029</t>
        </is>
      </c>
      <c r="AK7" s="47" t="inlineStr">
        <is>
          <t>сен 2029</t>
        </is>
      </c>
      <c r="AL7" s="47" t="inlineStr">
        <is>
          <t>окт 2029</t>
        </is>
      </c>
    </row>
    <row r="8">
      <c r="A8" s="6" t="inlineStr">
        <is>
          <t>Год проекта</t>
        </is>
      </c>
      <c r="C8" s="11" t="n">
        <v>1</v>
      </c>
      <c r="D8" s="11" t="n">
        <v>1</v>
      </c>
      <c r="E8" s="11" t="n">
        <v>1</v>
      </c>
      <c r="F8" s="11" t="n">
        <v>1</v>
      </c>
      <c r="G8" s="11" t="n">
        <v>1</v>
      </c>
      <c r="H8" s="11" t="n">
        <v>1</v>
      </c>
      <c r="I8" s="11" t="n">
        <v>1</v>
      </c>
      <c r="J8" s="11" t="n">
        <v>1</v>
      </c>
      <c r="K8" s="11" t="n">
        <v>1</v>
      </c>
      <c r="L8" s="11" t="n">
        <v>1</v>
      </c>
      <c r="M8" s="11" t="n">
        <v>1</v>
      </c>
      <c r="N8" s="11" t="n">
        <v>1</v>
      </c>
      <c r="O8" s="11" t="n">
        <v>2</v>
      </c>
      <c r="P8" s="11" t="n">
        <v>2</v>
      </c>
      <c r="Q8" s="11" t="n">
        <v>2</v>
      </c>
      <c r="R8" s="11" t="n">
        <v>2</v>
      </c>
      <c r="S8" s="11" t="n">
        <v>2</v>
      </c>
      <c r="T8" s="11" t="n">
        <v>2</v>
      </c>
      <c r="U8" s="11" t="n">
        <v>2</v>
      </c>
      <c r="V8" s="11" t="n">
        <v>2</v>
      </c>
      <c r="W8" s="11" t="n">
        <v>2</v>
      </c>
      <c r="X8" s="11" t="n">
        <v>2</v>
      </c>
      <c r="Y8" s="11" t="n">
        <v>2</v>
      </c>
      <c r="Z8" s="11" t="n">
        <v>2</v>
      </c>
      <c r="AA8" s="11" t="n">
        <v>3</v>
      </c>
      <c r="AB8" s="11" t="n">
        <v>3</v>
      </c>
      <c r="AC8" s="11" t="n">
        <v>3</v>
      </c>
      <c r="AD8" s="11" t="n">
        <v>3</v>
      </c>
      <c r="AE8" s="11" t="n">
        <v>3</v>
      </c>
      <c r="AF8" s="11" t="n">
        <v>3</v>
      </c>
      <c r="AG8" s="11" t="n">
        <v>3</v>
      </c>
      <c r="AH8" s="11" t="n">
        <v>3</v>
      </c>
      <c r="AI8" s="11" t="n">
        <v>3</v>
      </c>
      <c r="AJ8" s="11" t="n">
        <v>3</v>
      </c>
      <c r="AK8" s="11" t="n">
        <v>3</v>
      </c>
      <c r="AL8" s="11" t="n">
        <v>3</v>
      </c>
    </row>
    <row r="9">
      <c r="A9" s="6" t="inlineStr">
        <is>
          <t>Рынок (1 = MVP вышел)</t>
        </is>
      </c>
      <c r="C9" s="11">
        <f>IF(C6&gt;='Допущения'!$D$9,1,0)</f>
        <v/>
      </c>
      <c r="D9" s="11">
        <f>IF(D6&gt;='Допущения'!$D$9,1,0)</f>
        <v/>
      </c>
      <c r="E9" s="11">
        <f>IF(E6&gt;='Допущения'!$D$9,1,0)</f>
        <v/>
      </c>
      <c r="F9" s="11">
        <f>IF(F6&gt;='Допущения'!$D$9,1,0)</f>
        <v/>
      </c>
      <c r="G9" s="11">
        <f>IF(G6&gt;='Допущения'!$D$9,1,0)</f>
        <v/>
      </c>
      <c r="H9" s="11">
        <f>IF(H6&gt;='Допущения'!$D$9,1,0)</f>
        <v/>
      </c>
      <c r="I9" s="11">
        <f>IF(I6&gt;='Допущения'!$D$9,1,0)</f>
        <v/>
      </c>
      <c r="J9" s="11">
        <f>IF(J6&gt;='Допущения'!$D$9,1,0)</f>
        <v/>
      </c>
      <c r="K9" s="11">
        <f>IF(K6&gt;='Допущения'!$D$9,1,0)</f>
        <v/>
      </c>
      <c r="L9" s="11">
        <f>IF(L6&gt;='Допущения'!$D$9,1,0)</f>
        <v/>
      </c>
      <c r="M9" s="11">
        <f>IF(M6&gt;='Допущения'!$D$9,1,0)</f>
        <v/>
      </c>
      <c r="N9" s="11">
        <f>IF(N6&gt;='Допущения'!$D$9,1,0)</f>
        <v/>
      </c>
      <c r="O9" s="11">
        <f>IF(O6&gt;='Допущения'!$D$9,1,0)</f>
        <v/>
      </c>
      <c r="P9" s="11">
        <f>IF(P6&gt;='Допущения'!$D$9,1,0)</f>
        <v/>
      </c>
      <c r="Q9" s="11">
        <f>IF(Q6&gt;='Допущения'!$D$9,1,0)</f>
        <v/>
      </c>
      <c r="R9" s="11">
        <f>IF(R6&gt;='Допущения'!$D$9,1,0)</f>
        <v/>
      </c>
      <c r="S9" s="11">
        <f>IF(S6&gt;='Допущения'!$D$9,1,0)</f>
        <v/>
      </c>
      <c r="T9" s="11">
        <f>IF(T6&gt;='Допущения'!$D$9,1,0)</f>
        <v/>
      </c>
      <c r="U9" s="11">
        <f>IF(U6&gt;='Допущения'!$D$9,1,0)</f>
        <v/>
      </c>
      <c r="V9" s="11">
        <f>IF(V6&gt;='Допущения'!$D$9,1,0)</f>
        <v/>
      </c>
      <c r="W9" s="11">
        <f>IF(W6&gt;='Допущения'!$D$9,1,0)</f>
        <v/>
      </c>
      <c r="X9" s="11">
        <f>IF(X6&gt;='Допущения'!$D$9,1,0)</f>
        <v/>
      </c>
      <c r="Y9" s="11">
        <f>IF(Y6&gt;='Допущения'!$D$9,1,0)</f>
        <v/>
      </c>
      <c r="Z9" s="11">
        <f>IF(Z6&gt;='Допущения'!$D$9,1,0)</f>
        <v/>
      </c>
      <c r="AA9" s="11">
        <f>IF(AA6&gt;='Допущения'!$D$9,1,0)</f>
        <v/>
      </c>
      <c r="AB9" s="11">
        <f>IF(AB6&gt;='Допущения'!$D$9,1,0)</f>
        <v/>
      </c>
      <c r="AC9" s="11">
        <f>IF(AC6&gt;='Допущения'!$D$9,1,0)</f>
        <v/>
      </c>
      <c r="AD9" s="11">
        <f>IF(AD6&gt;='Допущения'!$D$9,1,0)</f>
        <v/>
      </c>
      <c r="AE9" s="11">
        <f>IF(AE6&gt;='Допущения'!$D$9,1,0)</f>
        <v/>
      </c>
      <c r="AF9" s="11">
        <f>IF(AF6&gt;='Допущения'!$D$9,1,0)</f>
        <v/>
      </c>
      <c r="AG9" s="11">
        <f>IF(AG6&gt;='Допущения'!$D$9,1,0)</f>
        <v/>
      </c>
      <c r="AH9" s="11">
        <f>IF(AH6&gt;='Допущения'!$D$9,1,0)</f>
        <v/>
      </c>
      <c r="AI9" s="11">
        <f>IF(AI6&gt;='Допущения'!$D$9,1,0)</f>
        <v/>
      </c>
      <c r="AJ9" s="11">
        <f>IF(AJ6&gt;='Допущения'!$D$9,1,0)</f>
        <v/>
      </c>
      <c r="AK9" s="11">
        <f>IF(AK6&gt;='Допущения'!$D$9,1,0)</f>
        <v/>
      </c>
      <c r="AL9" s="11">
        <f>IF(AL6&gt;='Допущения'!$D$9,1,0)</f>
        <v/>
      </c>
    </row>
    <row r="10">
      <c r="A10" s="4" t="inlineStr">
        <is>
          <t>ВОРОНКА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</row>
    <row r="11">
      <c r="A11" s="6" t="inlineStr">
        <is>
          <t>Маркетинг, $</t>
        </is>
      </c>
      <c r="B11" s="44">
        <f>SUM(C11:AL11)</f>
        <v/>
      </c>
      <c r="C11" s="21">
        <f>IF(C9=1,MAX('Допущения'!$D$83,'Допущения'!$D$84*0)+IF(C6='Допущения'!$D$9,'Допущения'!$D$82,0),'Допущения'!$D$81)</f>
        <v/>
      </c>
      <c r="D11" s="21">
        <f>IF(D9=1,MAX('Допущения'!$D$83,'Допущения'!$D$84*C28)+IF(D6='Допущения'!$D$9,'Допущения'!$D$82,0),'Допущения'!$D$81)</f>
        <v/>
      </c>
      <c r="E11" s="21">
        <f>IF(E9=1,MAX('Допущения'!$D$83,'Допущения'!$D$84*D28)+IF(E6='Допущения'!$D$9,'Допущения'!$D$82,0),'Допущения'!$D$81)</f>
        <v/>
      </c>
      <c r="F11" s="21">
        <f>IF(F9=1,MAX('Допущения'!$D$83,'Допущения'!$D$84*E28)+IF(F6='Допущения'!$D$9,'Допущения'!$D$82,0),'Допущения'!$D$81)</f>
        <v/>
      </c>
      <c r="G11" s="21">
        <f>IF(G9=1,MAX('Допущения'!$D$83,'Допущения'!$D$84*F28)+IF(G6='Допущения'!$D$9,'Допущения'!$D$82,0),'Допущения'!$D$81)</f>
        <v/>
      </c>
      <c r="H11" s="21">
        <f>IF(H9=1,MAX('Допущения'!$D$83,'Допущения'!$D$84*G28)+IF(H6='Допущения'!$D$9,'Допущения'!$D$82,0),'Допущения'!$D$81)</f>
        <v/>
      </c>
      <c r="I11" s="21">
        <f>IF(I9=1,MAX('Допущения'!$D$83,'Допущения'!$D$84*H28)+IF(I6='Допущения'!$D$9,'Допущения'!$D$82,0),'Допущения'!$D$81)</f>
        <v/>
      </c>
      <c r="J11" s="21">
        <f>IF(J9=1,MAX('Допущения'!$D$83,'Допущения'!$D$84*I28)+IF(J6='Допущения'!$D$9,'Допущения'!$D$82,0),'Допущения'!$D$81)</f>
        <v/>
      </c>
      <c r="K11" s="21">
        <f>IF(K9=1,MAX('Допущения'!$D$83,'Допущения'!$D$84*J28)+IF(K6='Допущения'!$D$9,'Допущения'!$D$82,0),'Допущения'!$D$81)</f>
        <v/>
      </c>
      <c r="L11" s="21">
        <f>IF(L9=1,MAX('Допущения'!$D$83,'Допущения'!$D$84*K28)+IF(L6='Допущения'!$D$9,'Допущения'!$D$82,0),'Допущения'!$D$81)</f>
        <v/>
      </c>
      <c r="M11" s="21">
        <f>IF(M9=1,MAX('Допущения'!$D$83,'Допущения'!$D$84*L28)+IF(M6='Допущения'!$D$9,'Допущения'!$D$82,0),'Допущения'!$D$81)</f>
        <v/>
      </c>
      <c r="N11" s="21">
        <f>IF(N9=1,MAX('Допущения'!$D$83,'Допущения'!$D$84*M28)+IF(N6='Допущения'!$D$9,'Допущения'!$D$82,0),'Допущения'!$D$81)</f>
        <v/>
      </c>
      <c r="O11" s="21">
        <f>IF(O9=1,MAX('Допущения'!$D$83,'Допущения'!$D$84*N28)+IF(O6='Допущения'!$D$9,'Допущения'!$D$82,0),'Допущения'!$D$81)</f>
        <v/>
      </c>
      <c r="P11" s="21">
        <f>IF(P9=1,MAX('Допущения'!$D$83,'Допущения'!$D$84*O28)+IF(P6='Допущения'!$D$9,'Допущения'!$D$82,0),'Допущения'!$D$81)</f>
        <v/>
      </c>
      <c r="Q11" s="21">
        <f>IF(Q9=1,MAX('Допущения'!$D$83,'Допущения'!$D$84*P28)+IF(Q6='Допущения'!$D$9,'Допущения'!$D$82,0),'Допущения'!$D$81)</f>
        <v/>
      </c>
      <c r="R11" s="21">
        <f>IF(R9=1,MAX('Допущения'!$D$83,'Допущения'!$D$84*Q28)+IF(R6='Допущения'!$D$9,'Допущения'!$D$82,0),'Допущения'!$D$81)</f>
        <v/>
      </c>
      <c r="S11" s="21">
        <f>IF(S9=1,MAX('Допущения'!$D$83,'Допущения'!$D$84*R28)+IF(S6='Допущения'!$D$9,'Допущения'!$D$82,0),'Допущения'!$D$81)</f>
        <v/>
      </c>
      <c r="T11" s="21">
        <f>IF(T9=1,MAX('Допущения'!$D$83,'Допущения'!$D$84*S28)+IF(T6='Допущения'!$D$9,'Допущения'!$D$82,0),'Допущения'!$D$81)</f>
        <v/>
      </c>
      <c r="U11" s="21">
        <f>IF(U9=1,MAX('Допущения'!$D$83,'Допущения'!$D$84*T28)+IF(U6='Допущения'!$D$9,'Допущения'!$D$82,0),'Допущения'!$D$81)</f>
        <v/>
      </c>
      <c r="V11" s="21">
        <f>IF(V9=1,MAX('Допущения'!$D$83,'Допущения'!$D$84*U28)+IF(V6='Допущения'!$D$9,'Допущения'!$D$82,0),'Допущения'!$D$81)</f>
        <v/>
      </c>
      <c r="W11" s="21">
        <f>IF(W9=1,MAX('Допущения'!$D$83,'Допущения'!$D$84*V28)+IF(W6='Допущения'!$D$9,'Допущения'!$D$82,0),'Допущения'!$D$81)</f>
        <v/>
      </c>
      <c r="X11" s="21">
        <f>IF(X9=1,MAX('Допущения'!$D$83,'Допущения'!$D$84*W28)+IF(X6='Допущения'!$D$9,'Допущения'!$D$82,0),'Допущения'!$D$81)</f>
        <v/>
      </c>
      <c r="Y11" s="21">
        <f>IF(Y9=1,MAX('Допущения'!$D$83,'Допущения'!$D$84*X28)+IF(Y6='Допущения'!$D$9,'Допущения'!$D$82,0),'Допущения'!$D$81)</f>
        <v/>
      </c>
      <c r="Z11" s="21">
        <f>IF(Z9=1,MAX('Допущения'!$D$83,'Допущения'!$D$84*Y28)+IF(Z6='Допущения'!$D$9,'Допущения'!$D$82,0),'Допущения'!$D$81)</f>
        <v/>
      </c>
      <c r="AA11" s="21">
        <f>IF(AA9=1,MAX('Допущения'!$D$83,'Допущения'!$D$84*Z28)+IF(AA6='Допущения'!$D$9,'Допущения'!$D$82,0),'Допущения'!$D$81)</f>
        <v/>
      </c>
      <c r="AB11" s="21">
        <f>IF(AB9=1,MAX('Допущения'!$D$83,'Допущения'!$D$84*AA28)+IF(AB6='Допущения'!$D$9,'Допущения'!$D$82,0),'Допущения'!$D$81)</f>
        <v/>
      </c>
      <c r="AC11" s="21">
        <f>IF(AC9=1,MAX('Допущения'!$D$83,'Допущения'!$D$84*AB28)+IF(AC6='Допущения'!$D$9,'Допущения'!$D$82,0),'Допущения'!$D$81)</f>
        <v/>
      </c>
      <c r="AD11" s="21">
        <f>IF(AD9=1,MAX('Допущения'!$D$83,'Допущения'!$D$84*AC28)+IF(AD6='Допущения'!$D$9,'Допущения'!$D$82,0),'Допущения'!$D$81)</f>
        <v/>
      </c>
      <c r="AE11" s="21">
        <f>IF(AE9=1,MAX('Допущения'!$D$83,'Допущения'!$D$84*AD28)+IF(AE6='Допущения'!$D$9,'Допущения'!$D$82,0),'Допущения'!$D$81)</f>
        <v/>
      </c>
      <c r="AF11" s="21">
        <f>IF(AF9=1,MAX('Допущения'!$D$83,'Допущения'!$D$84*AE28)+IF(AF6='Допущения'!$D$9,'Допущения'!$D$82,0),'Допущения'!$D$81)</f>
        <v/>
      </c>
      <c r="AG11" s="21">
        <f>IF(AG9=1,MAX('Допущения'!$D$83,'Допущения'!$D$84*AF28)+IF(AG6='Допущения'!$D$9,'Допущения'!$D$82,0),'Допущения'!$D$81)</f>
        <v/>
      </c>
      <c r="AH11" s="21">
        <f>IF(AH9=1,MAX('Допущения'!$D$83,'Допущения'!$D$84*AG28)+IF(AH6='Допущения'!$D$9,'Допущения'!$D$82,0),'Допущения'!$D$81)</f>
        <v/>
      </c>
      <c r="AI11" s="21">
        <f>IF(AI9=1,MAX('Допущения'!$D$83,'Допущения'!$D$84*AH28)+IF(AI6='Допущения'!$D$9,'Допущения'!$D$82,0),'Допущения'!$D$81)</f>
        <v/>
      </c>
      <c r="AJ11" s="21">
        <f>IF(AJ9=1,MAX('Допущения'!$D$83,'Допущения'!$D$84*AI28)+IF(AJ6='Допущения'!$D$9,'Допущения'!$D$82,0),'Допущения'!$D$81)</f>
        <v/>
      </c>
      <c r="AK11" s="21">
        <f>IF(AK9=1,MAX('Допущения'!$D$83,'Допущения'!$D$84*AJ28)+IF(AK6='Допущения'!$D$9,'Допущения'!$D$82,0),'Допущения'!$D$81)</f>
        <v/>
      </c>
      <c r="AL11" s="21">
        <f>IF(AL9=1,MAX('Допущения'!$D$83,'Допущения'!$D$84*AK28)+IF(AL6='Допущения'!$D$9,'Допущения'!$D$82,0),'Допущения'!$D$81)</f>
        <v/>
      </c>
    </row>
    <row r="12">
      <c r="A12" s="6" t="inlineStr">
        <is>
          <t>Платные установки</t>
        </is>
      </c>
      <c r="B12" s="48">
        <f>SUM(C12:AL12)</f>
        <v/>
      </c>
      <c r="C12" s="14">
        <f>IF(C9=1,C11/'Допущения'!$D$60,0)</f>
        <v/>
      </c>
      <c r="D12" s="14">
        <f>IF(D9=1,D11/'Допущения'!$D$60,0)</f>
        <v/>
      </c>
      <c r="E12" s="14">
        <f>IF(E9=1,E11/'Допущения'!$D$60,0)</f>
        <v/>
      </c>
      <c r="F12" s="14">
        <f>IF(F9=1,F11/'Допущения'!$D$60,0)</f>
        <v/>
      </c>
      <c r="G12" s="14">
        <f>IF(G9=1,G11/'Допущения'!$D$60,0)</f>
        <v/>
      </c>
      <c r="H12" s="14">
        <f>IF(H9=1,H11/'Допущения'!$D$60,0)</f>
        <v/>
      </c>
      <c r="I12" s="14">
        <f>IF(I9=1,I11/'Допущения'!$D$60,0)</f>
        <v/>
      </c>
      <c r="J12" s="14">
        <f>IF(J9=1,J11/'Допущения'!$D$60,0)</f>
        <v/>
      </c>
      <c r="K12" s="14">
        <f>IF(K9=1,K11/'Допущения'!$D$60,0)</f>
        <v/>
      </c>
      <c r="L12" s="14">
        <f>IF(L9=1,L11/'Допущения'!$D$60,0)</f>
        <v/>
      </c>
      <c r="M12" s="14">
        <f>IF(M9=1,M11/'Допущения'!$D$60,0)</f>
        <v/>
      </c>
      <c r="N12" s="14">
        <f>IF(N9=1,N11/'Допущения'!$D$60,0)</f>
        <v/>
      </c>
      <c r="O12" s="14">
        <f>IF(O9=1,O11/'Допущения'!$D$60,0)</f>
        <v/>
      </c>
      <c r="P12" s="14">
        <f>IF(P9=1,P11/'Допущения'!$D$60,0)</f>
        <v/>
      </c>
      <c r="Q12" s="14">
        <f>IF(Q9=1,Q11/'Допущения'!$D$60,0)</f>
        <v/>
      </c>
      <c r="R12" s="14">
        <f>IF(R9=1,R11/'Допущения'!$D$60,0)</f>
        <v/>
      </c>
      <c r="S12" s="14">
        <f>IF(S9=1,S11/'Допущения'!$D$60,0)</f>
        <v/>
      </c>
      <c r="T12" s="14">
        <f>IF(T9=1,T11/'Допущения'!$D$60,0)</f>
        <v/>
      </c>
      <c r="U12" s="14">
        <f>IF(U9=1,U11/'Допущения'!$D$60,0)</f>
        <v/>
      </c>
      <c r="V12" s="14">
        <f>IF(V9=1,V11/'Допущения'!$D$60,0)</f>
        <v/>
      </c>
      <c r="W12" s="14">
        <f>IF(W9=1,W11/'Допущения'!$D$60,0)</f>
        <v/>
      </c>
      <c r="X12" s="14">
        <f>IF(X9=1,X11/'Допущения'!$D$60,0)</f>
        <v/>
      </c>
      <c r="Y12" s="14">
        <f>IF(Y9=1,Y11/'Допущения'!$D$60,0)</f>
        <v/>
      </c>
      <c r="Z12" s="14">
        <f>IF(Z9=1,Z11/'Допущения'!$D$60,0)</f>
        <v/>
      </c>
      <c r="AA12" s="14">
        <f>IF(AA9=1,AA11/'Допущения'!$D$60,0)</f>
        <v/>
      </c>
      <c r="AB12" s="14">
        <f>IF(AB9=1,AB11/'Допущения'!$D$60,0)</f>
        <v/>
      </c>
      <c r="AC12" s="14">
        <f>IF(AC9=1,AC11/'Допущения'!$D$60,0)</f>
        <v/>
      </c>
      <c r="AD12" s="14">
        <f>IF(AD9=1,AD11/'Допущения'!$D$60,0)</f>
        <v/>
      </c>
      <c r="AE12" s="14">
        <f>IF(AE9=1,AE11/'Допущения'!$D$60,0)</f>
        <v/>
      </c>
      <c r="AF12" s="14">
        <f>IF(AF9=1,AF11/'Допущения'!$D$60,0)</f>
        <v/>
      </c>
      <c r="AG12" s="14">
        <f>IF(AG9=1,AG11/'Допущения'!$D$60,0)</f>
        <v/>
      </c>
      <c r="AH12" s="14">
        <f>IF(AH9=1,AH11/'Допущения'!$D$60,0)</f>
        <v/>
      </c>
      <c r="AI12" s="14">
        <f>IF(AI9=1,AI11/'Допущения'!$D$60,0)</f>
        <v/>
      </c>
      <c r="AJ12" s="14">
        <f>IF(AJ9=1,AJ11/'Допущения'!$D$60,0)</f>
        <v/>
      </c>
      <c r="AK12" s="14">
        <f>IF(AK9=1,AK11/'Допущения'!$D$60,0)</f>
        <v/>
      </c>
      <c r="AL12" s="14">
        <f>IF(AL9=1,AL11/'Допущения'!$D$60,0)</f>
        <v/>
      </c>
    </row>
    <row r="13">
      <c r="A13" s="6" t="inlineStr">
        <is>
          <t>Органические установки</t>
        </is>
      </c>
      <c r="B13" s="48">
        <f>SUM(C13:AL13)</f>
        <v/>
      </c>
      <c r="C13" s="14">
        <f>IF(C9=1,MIN('Допущения'!$D$63,('Допущения'!$D$61*(1+'Чувствительность'!$B$3))*(1+'Допущения'!$D$62)^(C6-'Допущения'!$D$9)),0)</f>
        <v/>
      </c>
      <c r="D13" s="14">
        <f>IF(D9=1,MIN('Допущения'!$D$63,('Допущения'!$D$61*(1+'Чувствительность'!$B$3))*(1+'Допущения'!$D$62)^(D6-'Допущения'!$D$9)),0)</f>
        <v/>
      </c>
      <c r="E13" s="14">
        <f>IF(E9=1,MIN('Допущения'!$D$63,('Допущения'!$D$61*(1+'Чувствительность'!$B$3))*(1+'Допущения'!$D$62)^(E6-'Допущения'!$D$9)),0)</f>
        <v/>
      </c>
      <c r="F13" s="14">
        <f>IF(F9=1,MIN('Допущения'!$D$63,('Допущения'!$D$61*(1+'Чувствительность'!$B$3))*(1+'Допущения'!$D$62)^(F6-'Допущения'!$D$9)),0)</f>
        <v/>
      </c>
      <c r="G13" s="14">
        <f>IF(G9=1,MIN('Допущения'!$D$63,('Допущения'!$D$61*(1+'Чувствительность'!$B$3))*(1+'Допущения'!$D$62)^(G6-'Допущения'!$D$9)),0)</f>
        <v/>
      </c>
      <c r="H13" s="14">
        <f>IF(H9=1,MIN('Допущения'!$D$63,('Допущения'!$D$61*(1+'Чувствительность'!$B$3))*(1+'Допущения'!$D$62)^(H6-'Допущения'!$D$9)),0)</f>
        <v/>
      </c>
      <c r="I13" s="14">
        <f>IF(I9=1,MIN('Допущения'!$D$63,('Допущения'!$D$61*(1+'Чувствительность'!$B$3))*(1+'Допущения'!$D$62)^(I6-'Допущения'!$D$9)),0)</f>
        <v/>
      </c>
      <c r="J13" s="14">
        <f>IF(J9=1,MIN('Допущения'!$D$63,('Допущения'!$D$61*(1+'Чувствительность'!$B$3))*(1+'Допущения'!$D$62)^(J6-'Допущения'!$D$9)),0)</f>
        <v/>
      </c>
      <c r="K13" s="14">
        <f>IF(K9=1,MIN('Допущения'!$D$63,('Допущения'!$D$61*(1+'Чувствительность'!$B$3))*(1+'Допущения'!$D$62)^(K6-'Допущения'!$D$9)),0)</f>
        <v/>
      </c>
      <c r="L13" s="14">
        <f>IF(L9=1,MIN('Допущения'!$D$63,('Допущения'!$D$61*(1+'Чувствительность'!$B$3))*(1+'Допущения'!$D$62)^(L6-'Допущения'!$D$9)),0)</f>
        <v/>
      </c>
      <c r="M13" s="14">
        <f>IF(M9=1,MIN('Допущения'!$D$63,('Допущения'!$D$61*(1+'Чувствительность'!$B$3))*(1+'Допущения'!$D$62)^(M6-'Допущения'!$D$9)),0)</f>
        <v/>
      </c>
      <c r="N13" s="14">
        <f>IF(N9=1,MIN('Допущения'!$D$63,('Допущения'!$D$61*(1+'Чувствительность'!$B$3))*(1+'Допущения'!$D$62)^(N6-'Допущения'!$D$9)),0)</f>
        <v/>
      </c>
      <c r="O13" s="14">
        <f>IF(O9=1,MIN('Допущения'!$D$63,('Допущения'!$D$61*(1+'Чувствительность'!$B$3))*(1+'Допущения'!$D$62)^(O6-'Допущения'!$D$9)),0)</f>
        <v/>
      </c>
      <c r="P13" s="14">
        <f>IF(P9=1,MIN('Допущения'!$D$63,('Допущения'!$D$61*(1+'Чувствительность'!$B$3))*(1+'Допущения'!$D$62)^(P6-'Допущения'!$D$9)),0)</f>
        <v/>
      </c>
      <c r="Q13" s="14">
        <f>IF(Q9=1,MIN('Допущения'!$D$63,('Допущения'!$D$61*(1+'Чувствительность'!$B$3))*(1+'Допущения'!$D$62)^(Q6-'Допущения'!$D$9)),0)</f>
        <v/>
      </c>
      <c r="R13" s="14">
        <f>IF(R9=1,MIN('Допущения'!$D$63,('Допущения'!$D$61*(1+'Чувствительность'!$B$3))*(1+'Допущения'!$D$62)^(R6-'Допущения'!$D$9)),0)</f>
        <v/>
      </c>
      <c r="S13" s="14">
        <f>IF(S9=1,MIN('Допущения'!$D$63,('Допущения'!$D$61*(1+'Чувствительность'!$B$3))*(1+'Допущения'!$D$62)^(S6-'Допущения'!$D$9)),0)</f>
        <v/>
      </c>
      <c r="T13" s="14">
        <f>IF(T9=1,MIN('Допущения'!$D$63,('Допущения'!$D$61*(1+'Чувствительность'!$B$3))*(1+'Допущения'!$D$62)^(T6-'Допущения'!$D$9)),0)</f>
        <v/>
      </c>
      <c r="U13" s="14">
        <f>IF(U9=1,MIN('Допущения'!$D$63,('Допущения'!$D$61*(1+'Чувствительность'!$B$3))*(1+'Допущения'!$D$62)^(U6-'Допущения'!$D$9)),0)</f>
        <v/>
      </c>
      <c r="V13" s="14">
        <f>IF(V9=1,MIN('Допущения'!$D$63,('Допущения'!$D$61*(1+'Чувствительность'!$B$3))*(1+'Допущения'!$D$62)^(V6-'Допущения'!$D$9)),0)</f>
        <v/>
      </c>
      <c r="W13" s="14">
        <f>IF(W9=1,MIN('Допущения'!$D$63,('Допущения'!$D$61*(1+'Чувствительность'!$B$3))*(1+'Допущения'!$D$62)^(W6-'Допущения'!$D$9)),0)</f>
        <v/>
      </c>
      <c r="X13" s="14">
        <f>IF(X9=1,MIN('Допущения'!$D$63,('Допущения'!$D$61*(1+'Чувствительность'!$B$3))*(1+'Допущения'!$D$62)^(X6-'Допущения'!$D$9)),0)</f>
        <v/>
      </c>
      <c r="Y13" s="14">
        <f>IF(Y9=1,MIN('Допущения'!$D$63,('Допущения'!$D$61*(1+'Чувствительность'!$B$3))*(1+'Допущения'!$D$62)^(Y6-'Допущения'!$D$9)),0)</f>
        <v/>
      </c>
      <c r="Z13" s="14">
        <f>IF(Z9=1,MIN('Допущения'!$D$63,('Допущения'!$D$61*(1+'Чувствительность'!$B$3))*(1+'Допущения'!$D$62)^(Z6-'Допущения'!$D$9)),0)</f>
        <v/>
      </c>
      <c r="AA13" s="14">
        <f>IF(AA9=1,MIN('Допущения'!$D$63,('Допущения'!$D$61*(1+'Чувствительность'!$B$3))*(1+'Допущения'!$D$62)^(AA6-'Допущения'!$D$9)),0)</f>
        <v/>
      </c>
      <c r="AB13" s="14">
        <f>IF(AB9=1,MIN('Допущения'!$D$63,('Допущения'!$D$61*(1+'Чувствительность'!$B$3))*(1+'Допущения'!$D$62)^(AB6-'Допущения'!$D$9)),0)</f>
        <v/>
      </c>
      <c r="AC13" s="14">
        <f>IF(AC9=1,MIN('Допущения'!$D$63,('Допущения'!$D$61*(1+'Чувствительность'!$B$3))*(1+'Допущения'!$D$62)^(AC6-'Допущения'!$D$9)),0)</f>
        <v/>
      </c>
      <c r="AD13" s="14">
        <f>IF(AD9=1,MIN('Допущения'!$D$63,('Допущения'!$D$61*(1+'Чувствительность'!$B$3))*(1+'Допущения'!$D$62)^(AD6-'Допущения'!$D$9)),0)</f>
        <v/>
      </c>
      <c r="AE13" s="14">
        <f>IF(AE9=1,MIN('Допущения'!$D$63,('Допущения'!$D$61*(1+'Чувствительность'!$B$3))*(1+'Допущения'!$D$62)^(AE6-'Допущения'!$D$9)),0)</f>
        <v/>
      </c>
      <c r="AF13" s="14">
        <f>IF(AF9=1,MIN('Допущения'!$D$63,('Допущения'!$D$61*(1+'Чувствительность'!$B$3))*(1+'Допущения'!$D$62)^(AF6-'Допущения'!$D$9)),0)</f>
        <v/>
      </c>
      <c r="AG13" s="14">
        <f>IF(AG9=1,MIN('Допущения'!$D$63,('Допущения'!$D$61*(1+'Чувствительность'!$B$3))*(1+'Допущения'!$D$62)^(AG6-'Допущения'!$D$9)),0)</f>
        <v/>
      </c>
      <c r="AH13" s="14">
        <f>IF(AH9=1,MIN('Допущения'!$D$63,('Допущения'!$D$61*(1+'Чувствительность'!$B$3))*(1+'Допущения'!$D$62)^(AH6-'Допущения'!$D$9)),0)</f>
        <v/>
      </c>
      <c r="AI13" s="14">
        <f>IF(AI9=1,MIN('Допущения'!$D$63,('Допущения'!$D$61*(1+'Чувствительность'!$B$3))*(1+'Допущения'!$D$62)^(AI6-'Допущения'!$D$9)),0)</f>
        <v/>
      </c>
      <c r="AJ13" s="14">
        <f>IF(AJ9=1,MIN('Допущения'!$D$63,('Допущения'!$D$61*(1+'Чувствительность'!$B$3))*(1+'Допущения'!$D$62)^(AJ6-'Допущения'!$D$9)),0)</f>
        <v/>
      </c>
      <c r="AK13" s="14">
        <f>IF(AK9=1,MIN('Допущения'!$D$63,('Допущения'!$D$61*(1+'Чувствительность'!$B$3))*(1+'Допущения'!$D$62)^(AK6-'Допущения'!$D$9)),0)</f>
        <v/>
      </c>
      <c r="AL13" s="14">
        <f>IF(AL9=1,MIN('Допущения'!$D$63,('Допущения'!$D$61*(1+'Чувствительность'!$B$3))*(1+'Допущения'!$D$62)^(AL6-'Допущения'!$D$9)),0)</f>
        <v/>
      </c>
    </row>
    <row r="14">
      <c r="A14" s="6" t="inlineStr">
        <is>
          <t>Вирусные установки</t>
        </is>
      </c>
      <c r="B14" s="48">
        <f>SUM(C14:AL14)</f>
        <v/>
      </c>
      <c r="C14" s="14">
        <f>(C12+C13)*'Допущения'!$D$64</f>
        <v/>
      </c>
      <c r="D14" s="14">
        <f>(D12+D13)*'Допущения'!$D$64</f>
        <v/>
      </c>
      <c r="E14" s="14">
        <f>(E12+E13)*'Допущения'!$D$64</f>
        <v/>
      </c>
      <c r="F14" s="14">
        <f>(F12+F13)*'Допущения'!$D$64</f>
        <v/>
      </c>
      <c r="G14" s="14">
        <f>(G12+G13)*'Допущения'!$D$64</f>
        <v/>
      </c>
      <c r="H14" s="14">
        <f>(H12+H13)*'Допущения'!$D$64</f>
        <v/>
      </c>
      <c r="I14" s="14">
        <f>(I12+I13)*'Допущения'!$D$64</f>
        <v/>
      </c>
      <c r="J14" s="14">
        <f>(J12+J13)*'Допущения'!$D$64</f>
        <v/>
      </c>
      <c r="K14" s="14">
        <f>(K12+K13)*'Допущения'!$D$64</f>
        <v/>
      </c>
      <c r="L14" s="14">
        <f>(L12+L13)*'Допущения'!$D$64</f>
        <v/>
      </c>
      <c r="M14" s="14">
        <f>(M12+M13)*'Допущения'!$D$64</f>
        <v/>
      </c>
      <c r="N14" s="14">
        <f>(N12+N13)*'Допущения'!$D$64</f>
        <v/>
      </c>
      <c r="O14" s="14">
        <f>(O12+O13)*'Допущения'!$D$64</f>
        <v/>
      </c>
      <c r="P14" s="14">
        <f>(P12+P13)*'Допущения'!$D$64</f>
        <v/>
      </c>
      <c r="Q14" s="14">
        <f>(Q12+Q13)*'Допущения'!$D$64</f>
        <v/>
      </c>
      <c r="R14" s="14">
        <f>(R12+R13)*'Допущения'!$D$64</f>
        <v/>
      </c>
      <c r="S14" s="14">
        <f>(S12+S13)*'Допущения'!$D$64</f>
        <v/>
      </c>
      <c r="T14" s="14">
        <f>(T12+T13)*'Допущения'!$D$64</f>
        <v/>
      </c>
      <c r="U14" s="14">
        <f>(U12+U13)*'Допущения'!$D$64</f>
        <v/>
      </c>
      <c r="V14" s="14">
        <f>(V12+V13)*'Допущения'!$D$64</f>
        <v/>
      </c>
      <c r="W14" s="14">
        <f>(W12+W13)*'Допущения'!$D$64</f>
        <v/>
      </c>
      <c r="X14" s="14">
        <f>(X12+X13)*'Допущения'!$D$64</f>
        <v/>
      </c>
      <c r="Y14" s="14">
        <f>(Y12+Y13)*'Допущения'!$D$64</f>
        <v/>
      </c>
      <c r="Z14" s="14">
        <f>(Z12+Z13)*'Допущения'!$D$64</f>
        <v/>
      </c>
      <c r="AA14" s="14">
        <f>(AA12+AA13)*'Допущения'!$D$64</f>
        <v/>
      </c>
      <c r="AB14" s="14">
        <f>(AB12+AB13)*'Допущения'!$D$64</f>
        <v/>
      </c>
      <c r="AC14" s="14">
        <f>(AC12+AC13)*'Допущения'!$D$64</f>
        <v/>
      </c>
      <c r="AD14" s="14">
        <f>(AD12+AD13)*'Допущения'!$D$64</f>
        <v/>
      </c>
      <c r="AE14" s="14">
        <f>(AE12+AE13)*'Допущения'!$D$64</f>
        <v/>
      </c>
      <c r="AF14" s="14">
        <f>(AF12+AF13)*'Допущения'!$D$64</f>
        <v/>
      </c>
      <c r="AG14" s="14">
        <f>(AG12+AG13)*'Допущения'!$D$64</f>
        <v/>
      </c>
      <c r="AH14" s="14">
        <f>(AH12+AH13)*'Допущения'!$D$64</f>
        <v/>
      </c>
      <c r="AI14" s="14">
        <f>(AI12+AI13)*'Допущения'!$D$64</f>
        <v/>
      </c>
      <c r="AJ14" s="14">
        <f>(AJ12+AJ13)*'Допущения'!$D$64</f>
        <v/>
      </c>
      <c r="AK14" s="14">
        <f>(AK12+AK13)*'Допущения'!$D$64</f>
        <v/>
      </c>
      <c r="AL14" s="14">
        <f>(AL12+AL13)*'Допущения'!$D$64</f>
        <v/>
      </c>
    </row>
    <row r="15">
      <c r="A15" s="6" t="inlineStr">
        <is>
          <t>Всего установок</t>
        </is>
      </c>
      <c r="B15" s="48">
        <f>SUM(C15:AL15)</f>
        <v/>
      </c>
      <c r="C15" s="14">
        <f>C12+C13+C14</f>
        <v/>
      </c>
      <c r="D15" s="14">
        <f>D12+D13+D14</f>
        <v/>
      </c>
      <c r="E15" s="14">
        <f>E12+E13+E14</f>
        <v/>
      </c>
      <c r="F15" s="14">
        <f>F12+F13+F14</f>
        <v/>
      </c>
      <c r="G15" s="14">
        <f>G12+G13+G14</f>
        <v/>
      </c>
      <c r="H15" s="14">
        <f>H12+H13+H14</f>
        <v/>
      </c>
      <c r="I15" s="14">
        <f>I12+I13+I14</f>
        <v/>
      </c>
      <c r="J15" s="14">
        <f>J12+J13+J14</f>
        <v/>
      </c>
      <c r="K15" s="14">
        <f>K12+K13+K14</f>
        <v/>
      </c>
      <c r="L15" s="14">
        <f>L12+L13+L14</f>
        <v/>
      </c>
      <c r="M15" s="14">
        <f>M12+M13+M14</f>
        <v/>
      </c>
      <c r="N15" s="14">
        <f>N12+N13+N14</f>
        <v/>
      </c>
      <c r="O15" s="14">
        <f>O12+O13+O14</f>
        <v/>
      </c>
      <c r="P15" s="14">
        <f>P12+P13+P14</f>
        <v/>
      </c>
      <c r="Q15" s="14">
        <f>Q12+Q13+Q14</f>
        <v/>
      </c>
      <c r="R15" s="14">
        <f>R12+R13+R14</f>
        <v/>
      </c>
      <c r="S15" s="14">
        <f>S12+S13+S14</f>
        <v/>
      </c>
      <c r="T15" s="14">
        <f>T12+T13+T14</f>
        <v/>
      </c>
      <c r="U15" s="14">
        <f>U12+U13+U14</f>
        <v/>
      </c>
      <c r="V15" s="14">
        <f>V12+V13+V14</f>
        <v/>
      </c>
      <c r="W15" s="14">
        <f>W12+W13+W14</f>
        <v/>
      </c>
      <c r="X15" s="14">
        <f>X12+X13+X14</f>
        <v/>
      </c>
      <c r="Y15" s="14">
        <f>Y12+Y13+Y14</f>
        <v/>
      </c>
      <c r="Z15" s="14">
        <f>Z12+Z13+Z14</f>
        <v/>
      </c>
      <c r="AA15" s="14">
        <f>AA12+AA13+AA14</f>
        <v/>
      </c>
      <c r="AB15" s="14">
        <f>AB12+AB13+AB14</f>
        <v/>
      </c>
      <c r="AC15" s="14">
        <f>AC12+AC13+AC14</f>
        <v/>
      </c>
      <c r="AD15" s="14">
        <f>AD12+AD13+AD14</f>
        <v/>
      </c>
      <c r="AE15" s="14">
        <f>AE12+AE13+AE14</f>
        <v/>
      </c>
      <c r="AF15" s="14">
        <f>AF12+AF13+AF14</f>
        <v/>
      </c>
      <c r="AG15" s="14">
        <f>AG12+AG13+AG14</f>
        <v/>
      </c>
      <c r="AH15" s="14">
        <f>AH12+AH13+AH14</f>
        <v/>
      </c>
      <c r="AI15" s="14">
        <f>AI12+AI13+AI14</f>
        <v/>
      </c>
      <c r="AJ15" s="14">
        <f>AJ12+AJ13+AJ14</f>
        <v/>
      </c>
      <c r="AK15" s="14">
        <f>AK12+AK13+AK14</f>
        <v/>
      </c>
      <c r="AL15" s="14">
        <f>AL12+AL13+AL14</f>
        <v/>
      </c>
    </row>
    <row r="16">
      <c r="A16" s="6" t="inlineStr">
        <is>
          <t>Новые активированные</t>
        </is>
      </c>
      <c r="B16" s="48">
        <f>SUM(C16:AL16)</f>
        <v/>
      </c>
      <c r="C16" s="14">
        <f>C15*'Допущения'!$D$65+IF(C6='Допущения'!$D$9,0*'Допущения'!$D$78,0)</f>
        <v/>
      </c>
      <c r="D16" s="14">
        <f>D15*'Допущения'!$D$65+IF(D6='Допущения'!$D$9,C17*'Допущения'!$D$78,0)</f>
        <v/>
      </c>
      <c r="E16" s="14">
        <f>E15*'Допущения'!$D$65+IF(E6='Допущения'!$D$9,D17*'Допущения'!$D$78,0)</f>
        <v/>
      </c>
      <c r="F16" s="14">
        <f>F15*'Допущения'!$D$65+IF(F6='Допущения'!$D$9,E17*'Допущения'!$D$78,0)</f>
        <v/>
      </c>
      <c r="G16" s="14">
        <f>G15*'Допущения'!$D$65+IF(G6='Допущения'!$D$9,F17*'Допущения'!$D$78,0)</f>
        <v/>
      </c>
      <c r="H16" s="14">
        <f>H15*'Допущения'!$D$65+IF(H6='Допущения'!$D$9,G17*'Допущения'!$D$78,0)</f>
        <v/>
      </c>
      <c r="I16" s="14">
        <f>I15*'Допущения'!$D$65+IF(I6='Допущения'!$D$9,H17*'Допущения'!$D$78,0)</f>
        <v/>
      </c>
      <c r="J16" s="14">
        <f>J15*'Допущения'!$D$65+IF(J6='Допущения'!$D$9,I17*'Допущения'!$D$78,0)</f>
        <v/>
      </c>
      <c r="K16" s="14">
        <f>K15*'Допущения'!$D$65+IF(K6='Допущения'!$D$9,J17*'Допущения'!$D$78,0)</f>
        <v/>
      </c>
      <c r="L16" s="14">
        <f>L15*'Допущения'!$D$65+IF(L6='Допущения'!$D$9,K17*'Допущения'!$D$78,0)</f>
        <v/>
      </c>
      <c r="M16" s="14">
        <f>M15*'Допущения'!$D$65+IF(M6='Допущения'!$D$9,L17*'Допущения'!$D$78,0)</f>
        <v/>
      </c>
      <c r="N16" s="14">
        <f>N15*'Допущения'!$D$65+IF(N6='Допущения'!$D$9,M17*'Допущения'!$D$78,0)</f>
        <v/>
      </c>
      <c r="O16" s="14">
        <f>O15*'Допущения'!$D$65+IF(O6='Допущения'!$D$9,N17*'Допущения'!$D$78,0)</f>
        <v/>
      </c>
      <c r="P16" s="14">
        <f>P15*'Допущения'!$D$65+IF(P6='Допущения'!$D$9,O17*'Допущения'!$D$78,0)</f>
        <v/>
      </c>
      <c r="Q16" s="14">
        <f>Q15*'Допущения'!$D$65+IF(Q6='Допущения'!$D$9,P17*'Допущения'!$D$78,0)</f>
        <v/>
      </c>
      <c r="R16" s="14">
        <f>R15*'Допущения'!$D$65+IF(R6='Допущения'!$D$9,Q17*'Допущения'!$D$78,0)</f>
        <v/>
      </c>
      <c r="S16" s="14">
        <f>S15*'Допущения'!$D$65+IF(S6='Допущения'!$D$9,R17*'Допущения'!$D$78,0)</f>
        <v/>
      </c>
      <c r="T16" s="14">
        <f>T15*'Допущения'!$D$65+IF(T6='Допущения'!$D$9,S17*'Допущения'!$D$78,0)</f>
        <v/>
      </c>
      <c r="U16" s="14">
        <f>U15*'Допущения'!$D$65+IF(U6='Допущения'!$D$9,T17*'Допущения'!$D$78,0)</f>
        <v/>
      </c>
      <c r="V16" s="14">
        <f>V15*'Допущения'!$D$65+IF(V6='Допущения'!$D$9,U17*'Допущения'!$D$78,0)</f>
        <v/>
      </c>
      <c r="W16" s="14">
        <f>W15*'Допущения'!$D$65+IF(W6='Допущения'!$D$9,V17*'Допущения'!$D$78,0)</f>
        <v/>
      </c>
      <c r="X16" s="14">
        <f>X15*'Допущения'!$D$65+IF(X6='Допущения'!$D$9,W17*'Допущения'!$D$78,0)</f>
        <v/>
      </c>
      <c r="Y16" s="14">
        <f>Y15*'Допущения'!$D$65+IF(Y6='Допущения'!$D$9,X17*'Допущения'!$D$78,0)</f>
        <v/>
      </c>
      <c r="Z16" s="14">
        <f>Z15*'Допущения'!$D$65+IF(Z6='Допущения'!$D$9,Y17*'Допущения'!$D$78,0)</f>
        <v/>
      </c>
      <c r="AA16" s="14">
        <f>AA15*'Допущения'!$D$65+IF(AA6='Допущения'!$D$9,Z17*'Допущения'!$D$78,0)</f>
        <v/>
      </c>
      <c r="AB16" s="14">
        <f>AB15*'Допущения'!$D$65+IF(AB6='Допущения'!$D$9,AA17*'Допущения'!$D$78,0)</f>
        <v/>
      </c>
      <c r="AC16" s="14">
        <f>AC15*'Допущения'!$D$65+IF(AC6='Допущения'!$D$9,AB17*'Допущения'!$D$78,0)</f>
        <v/>
      </c>
      <c r="AD16" s="14">
        <f>AD15*'Допущения'!$D$65+IF(AD6='Допущения'!$D$9,AC17*'Допущения'!$D$78,0)</f>
        <v/>
      </c>
      <c r="AE16" s="14">
        <f>AE15*'Допущения'!$D$65+IF(AE6='Допущения'!$D$9,AD17*'Допущения'!$D$78,0)</f>
        <v/>
      </c>
      <c r="AF16" s="14">
        <f>AF15*'Допущения'!$D$65+IF(AF6='Допущения'!$D$9,AE17*'Допущения'!$D$78,0)</f>
        <v/>
      </c>
      <c r="AG16" s="14">
        <f>AG15*'Допущения'!$D$65+IF(AG6='Допущения'!$D$9,AF17*'Допущения'!$D$78,0)</f>
        <v/>
      </c>
      <c r="AH16" s="14">
        <f>AH15*'Допущения'!$D$65+IF(AH6='Допущения'!$D$9,AG17*'Допущения'!$D$78,0)</f>
        <v/>
      </c>
      <c r="AI16" s="14">
        <f>AI15*'Допущения'!$D$65+IF(AI6='Допущения'!$D$9,AH17*'Допущения'!$D$78,0)</f>
        <v/>
      </c>
      <c r="AJ16" s="14">
        <f>AJ15*'Допущения'!$D$65+IF(AJ6='Допущения'!$D$9,AI17*'Допущения'!$D$78,0)</f>
        <v/>
      </c>
      <c r="AK16" s="14">
        <f>AK15*'Допущения'!$D$65+IF(AK6='Допущения'!$D$9,AJ17*'Допущения'!$D$78,0)</f>
        <v/>
      </c>
      <c r="AL16" s="14">
        <f>AL15*'Допущения'!$D$65+IF(AL6='Допущения'!$D$9,AK17*'Допущения'!$D$78,0)</f>
        <v/>
      </c>
    </row>
    <row r="17">
      <c r="A17" s="6" t="inlineStr">
        <is>
          <t>Игроки прототипа (до выхода)</t>
        </is>
      </c>
      <c r="C17" s="14">
        <f>IF(C9=1,0,'Допущения'!$D$72*(1+'Допущения'!$D$73)^(C6-1))</f>
        <v/>
      </c>
      <c r="D17" s="14">
        <f>IF(D9=1,0,'Допущения'!$D$72*(1+'Допущения'!$D$73)^(D6-1))</f>
        <v/>
      </c>
      <c r="E17" s="14">
        <f>IF(E9=1,0,'Допущения'!$D$72*(1+'Допущения'!$D$73)^(E6-1))</f>
        <v/>
      </c>
      <c r="F17" s="14">
        <f>IF(F9=1,0,'Допущения'!$D$72*(1+'Допущения'!$D$73)^(F6-1))</f>
        <v/>
      </c>
      <c r="G17" s="14">
        <f>IF(G9=1,0,'Допущения'!$D$72*(1+'Допущения'!$D$73)^(G6-1))</f>
        <v/>
      </c>
      <c r="H17" s="14">
        <f>IF(H9=1,0,'Допущения'!$D$72*(1+'Допущения'!$D$73)^(H6-1))</f>
        <v/>
      </c>
      <c r="I17" s="14">
        <f>IF(I9=1,0,'Допущения'!$D$72*(1+'Допущения'!$D$73)^(I6-1))</f>
        <v/>
      </c>
      <c r="J17" s="14">
        <f>IF(J9=1,0,'Допущения'!$D$72*(1+'Допущения'!$D$73)^(J6-1))</f>
        <v/>
      </c>
      <c r="K17" s="14">
        <f>IF(K9=1,0,'Допущения'!$D$72*(1+'Допущения'!$D$73)^(K6-1))</f>
        <v/>
      </c>
      <c r="L17" s="14">
        <f>IF(L9=1,0,'Допущения'!$D$72*(1+'Допущения'!$D$73)^(L6-1))</f>
        <v/>
      </c>
      <c r="M17" s="14">
        <f>IF(M9=1,0,'Допущения'!$D$72*(1+'Допущения'!$D$73)^(M6-1))</f>
        <v/>
      </c>
      <c r="N17" s="14">
        <f>IF(N9=1,0,'Допущения'!$D$72*(1+'Допущения'!$D$73)^(N6-1))</f>
        <v/>
      </c>
      <c r="O17" s="14">
        <f>IF(O9=1,0,'Допущения'!$D$72*(1+'Допущения'!$D$73)^(O6-1))</f>
        <v/>
      </c>
      <c r="P17" s="14">
        <f>IF(P9=1,0,'Допущения'!$D$72*(1+'Допущения'!$D$73)^(P6-1))</f>
        <v/>
      </c>
      <c r="Q17" s="14">
        <f>IF(Q9=1,0,'Допущения'!$D$72*(1+'Допущения'!$D$73)^(Q6-1))</f>
        <v/>
      </c>
      <c r="R17" s="14">
        <f>IF(R9=1,0,'Допущения'!$D$72*(1+'Допущения'!$D$73)^(R6-1))</f>
        <v/>
      </c>
      <c r="S17" s="14">
        <f>IF(S9=1,0,'Допущения'!$D$72*(1+'Допущения'!$D$73)^(S6-1))</f>
        <v/>
      </c>
      <c r="T17" s="14">
        <f>IF(T9=1,0,'Допущения'!$D$72*(1+'Допущения'!$D$73)^(T6-1))</f>
        <v/>
      </c>
      <c r="U17" s="14">
        <f>IF(U9=1,0,'Допущения'!$D$72*(1+'Допущения'!$D$73)^(U6-1))</f>
        <v/>
      </c>
      <c r="V17" s="14">
        <f>IF(V9=1,0,'Допущения'!$D$72*(1+'Допущения'!$D$73)^(V6-1))</f>
        <v/>
      </c>
      <c r="W17" s="14">
        <f>IF(W9=1,0,'Допущения'!$D$72*(1+'Допущения'!$D$73)^(W6-1))</f>
        <v/>
      </c>
      <c r="X17" s="14">
        <f>IF(X9=1,0,'Допущения'!$D$72*(1+'Допущения'!$D$73)^(X6-1))</f>
        <v/>
      </c>
      <c r="Y17" s="14">
        <f>IF(Y9=1,0,'Допущения'!$D$72*(1+'Допущения'!$D$73)^(Y6-1))</f>
        <v/>
      </c>
      <c r="Z17" s="14">
        <f>IF(Z9=1,0,'Допущения'!$D$72*(1+'Допущения'!$D$73)^(Z6-1))</f>
        <v/>
      </c>
      <c r="AA17" s="14">
        <f>IF(AA9=1,0,'Допущения'!$D$72*(1+'Допущения'!$D$73)^(AA6-1))</f>
        <v/>
      </c>
      <c r="AB17" s="14">
        <f>IF(AB9=1,0,'Допущения'!$D$72*(1+'Допущения'!$D$73)^(AB6-1))</f>
        <v/>
      </c>
      <c r="AC17" s="14">
        <f>IF(AC9=1,0,'Допущения'!$D$72*(1+'Допущения'!$D$73)^(AC6-1))</f>
        <v/>
      </c>
      <c r="AD17" s="14">
        <f>IF(AD9=1,0,'Допущения'!$D$72*(1+'Допущения'!$D$73)^(AD6-1))</f>
        <v/>
      </c>
      <c r="AE17" s="14">
        <f>IF(AE9=1,0,'Допущения'!$D$72*(1+'Допущения'!$D$73)^(AE6-1))</f>
        <v/>
      </c>
      <c r="AF17" s="14">
        <f>IF(AF9=1,0,'Допущения'!$D$72*(1+'Допущения'!$D$73)^(AF6-1))</f>
        <v/>
      </c>
      <c r="AG17" s="14">
        <f>IF(AG9=1,0,'Допущения'!$D$72*(1+'Допущения'!$D$73)^(AG6-1))</f>
        <v/>
      </c>
      <c r="AH17" s="14">
        <f>IF(AH9=1,0,'Допущения'!$D$72*(1+'Допущения'!$D$73)^(AH6-1))</f>
        <v/>
      </c>
      <c r="AI17" s="14">
        <f>IF(AI9=1,0,'Допущения'!$D$72*(1+'Допущения'!$D$73)^(AI6-1))</f>
        <v/>
      </c>
      <c r="AJ17" s="14">
        <f>IF(AJ9=1,0,'Допущения'!$D$72*(1+'Допущения'!$D$73)^(AJ6-1))</f>
        <v/>
      </c>
      <c r="AK17" s="14">
        <f>IF(AK9=1,0,'Допущения'!$D$72*(1+'Допущения'!$D$73)^(AK6-1))</f>
        <v/>
      </c>
      <c r="AL17" s="14">
        <f>IF(AL9=1,0,'Допущения'!$D$72*(1+'Допущения'!$D$73)^(AL6-1))</f>
        <v/>
      </c>
    </row>
    <row r="18">
      <c r="A18" s="6" t="inlineStr">
        <is>
          <t>Активные free (на конец мес.)</t>
        </is>
      </c>
      <c r="C18" s="14">
        <f>IF(C9=1,0*(1-'Допущения'!$D$68)*'Допущения'!$D$66+C16*(1-'Допущения'!$D$67),0)</f>
        <v/>
      </c>
      <c r="D18" s="14">
        <f>IF(D9=1,C18*(1-'Допущения'!$D$68)*'Допущения'!$D$66+D16*(1-'Допущения'!$D$67),0)</f>
        <v/>
      </c>
      <c r="E18" s="14">
        <f>IF(E9=1,D18*(1-'Допущения'!$D$68)*'Допущения'!$D$66+E16*(1-'Допущения'!$D$67),0)</f>
        <v/>
      </c>
      <c r="F18" s="14">
        <f>IF(F9=1,E18*(1-'Допущения'!$D$68)*'Допущения'!$D$66+F16*(1-'Допущения'!$D$67),0)</f>
        <v/>
      </c>
      <c r="G18" s="14">
        <f>IF(G9=1,F18*(1-'Допущения'!$D$68)*'Допущения'!$D$66+G16*(1-'Допущения'!$D$67),0)</f>
        <v/>
      </c>
      <c r="H18" s="14">
        <f>IF(H9=1,G18*(1-'Допущения'!$D$68)*'Допущения'!$D$66+H16*(1-'Допущения'!$D$67),0)</f>
        <v/>
      </c>
      <c r="I18" s="14">
        <f>IF(I9=1,H18*(1-'Допущения'!$D$68)*'Допущения'!$D$66+I16*(1-'Допущения'!$D$67),0)</f>
        <v/>
      </c>
      <c r="J18" s="14">
        <f>IF(J9=1,I18*(1-'Допущения'!$D$68)*'Допущения'!$D$66+J16*(1-'Допущения'!$D$67),0)</f>
        <v/>
      </c>
      <c r="K18" s="14">
        <f>IF(K9=1,J18*(1-'Допущения'!$D$68)*'Допущения'!$D$66+K16*(1-'Допущения'!$D$67),0)</f>
        <v/>
      </c>
      <c r="L18" s="14">
        <f>IF(L9=1,K18*(1-'Допущения'!$D$68)*'Допущения'!$D$66+L16*(1-'Допущения'!$D$67),0)</f>
        <v/>
      </c>
      <c r="M18" s="14">
        <f>IF(M9=1,L18*(1-'Допущения'!$D$68)*'Допущения'!$D$66+M16*(1-'Допущения'!$D$67),0)</f>
        <v/>
      </c>
      <c r="N18" s="14">
        <f>IF(N9=1,M18*(1-'Допущения'!$D$68)*'Допущения'!$D$66+N16*(1-'Допущения'!$D$67),0)</f>
        <v/>
      </c>
      <c r="O18" s="14">
        <f>IF(O9=1,N18*(1-'Допущения'!$D$68)*'Допущения'!$D$66+O16*(1-'Допущения'!$D$67),0)</f>
        <v/>
      </c>
      <c r="P18" s="14">
        <f>IF(P9=1,O18*(1-'Допущения'!$D$68)*'Допущения'!$D$66+P16*(1-'Допущения'!$D$67),0)</f>
        <v/>
      </c>
      <c r="Q18" s="14">
        <f>IF(Q9=1,P18*(1-'Допущения'!$D$68)*'Допущения'!$D$66+Q16*(1-'Допущения'!$D$67),0)</f>
        <v/>
      </c>
      <c r="R18" s="14">
        <f>IF(R9=1,Q18*(1-'Допущения'!$D$68)*'Допущения'!$D$66+R16*(1-'Допущения'!$D$67),0)</f>
        <v/>
      </c>
      <c r="S18" s="14">
        <f>IF(S9=1,R18*(1-'Допущения'!$D$68)*'Допущения'!$D$66+S16*(1-'Допущения'!$D$67),0)</f>
        <v/>
      </c>
      <c r="T18" s="14">
        <f>IF(T9=1,S18*(1-'Допущения'!$D$68)*'Допущения'!$D$66+T16*(1-'Допущения'!$D$67),0)</f>
        <v/>
      </c>
      <c r="U18" s="14">
        <f>IF(U9=1,T18*(1-'Допущения'!$D$68)*'Допущения'!$D$66+U16*(1-'Допущения'!$D$67),0)</f>
        <v/>
      </c>
      <c r="V18" s="14">
        <f>IF(V9=1,U18*(1-'Допущения'!$D$68)*'Допущения'!$D$66+V16*(1-'Допущения'!$D$67),0)</f>
        <v/>
      </c>
      <c r="W18" s="14">
        <f>IF(W9=1,V18*(1-'Допущения'!$D$68)*'Допущения'!$D$66+W16*(1-'Допущения'!$D$67),0)</f>
        <v/>
      </c>
      <c r="X18" s="14">
        <f>IF(X9=1,W18*(1-'Допущения'!$D$68)*'Допущения'!$D$66+X16*(1-'Допущения'!$D$67),0)</f>
        <v/>
      </c>
      <c r="Y18" s="14">
        <f>IF(Y9=1,X18*(1-'Допущения'!$D$68)*'Допущения'!$D$66+Y16*(1-'Допущения'!$D$67),0)</f>
        <v/>
      </c>
      <c r="Z18" s="14">
        <f>IF(Z9=1,Y18*(1-'Допущения'!$D$68)*'Допущения'!$D$66+Z16*(1-'Допущения'!$D$67),0)</f>
        <v/>
      </c>
      <c r="AA18" s="14">
        <f>IF(AA9=1,Z18*(1-'Допущения'!$D$68)*'Допущения'!$D$66+AA16*(1-'Допущения'!$D$67),0)</f>
        <v/>
      </c>
      <c r="AB18" s="14">
        <f>IF(AB9=1,AA18*(1-'Допущения'!$D$68)*'Допущения'!$D$66+AB16*(1-'Допущения'!$D$67),0)</f>
        <v/>
      </c>
      <c r="AC18" s="14">
        <f>IF(AC9=1,AB18*(1-'Допущения'!$D$68)*'Допущения'!$D$66+AC16*(1-'Допущения'!$D$67),0)</f>
        <v/>
      </c>
      <c r="AD18" s="14">
        <f>IF(AD9=1,AC18*(1-'Допущения'!$D$68)*'Допущения'!$D$66+AD16*(1-'Допущения'!$D$67),0)</f>
        <v/>
      </c>
      <c r="AE18" s="14">
        <f>IF(AE9=1,AD18*(1-'Допущения'!$D$68)*'Допущения'!$D$66+AE16*(1-'Допущения'!$D$67),0)</f>
        <v/>
      </c>
      <c r="AF18" s="14">
        <f>IF(AF9=1,AE18*(1-'Допущения'!$D$68)*'Допущения'!$D$66+AF16*(1-'Допущения'!$D$67),0)</f>
        <v/>
      </c>
      <c r="AG18" s="14">
        <f>IF(AG9=1,AF18*(1-'Допущения'!$D$68)*'Допущения'!$D$66+AG16*(1-'Допущения'!$D$67),0)</f>
        <v/>
      </c>
      <c r="AH18" s="14">
        <f>IF(AH9=1,AG18*(1-'Допущения'!$D$68)*'Допущения'!$D$66+AH16*(1-'Допущения'!$D$67),0)</f>
        <v/>
      </c>
      <c r="AI18" s="14">
        <f>IF(AI9=1,AH18*(1-'Допущения'!$D$68)*'Допущения'!$D$66+AI16*(1-'Допущения'!$D$67),0)</f>
        <v/>
      </c>
      <c r="AJ18" s="14">
        <f>IF(AJ9=1,AI18*(1-'Допущения'!$D$68)*'Допущения'!$D$66+AJ16*(1-'Допущения'!$D$67),0)</f>
        <v/>
      </c>
      <c r="AK18" s="14">
        <f>IF(AK9=1,AJ18*(1-'Допущения'!$D$68)*'Допущения'!$D$66+AK16*(1-'Допущения'!$D$67),0)</f>
        <v/>
      </c>
      <c r="AL18" s="14">
        <f>IF(AL9=1,AK18*(1-'Допущения'!$D$68)*'Допущения'!$D$66+AL16*(1-'Допущения'!$D$67),0)</f>
        <v/>
      </c>
    </row>
    <row r="19">
      <c r="A19" s="6" t="inlineStr">
        <is>
          <t>Новые платящие</t>
        </is>
      </c>
      <c r="B19" s="48">
        <f>SUM(C19:AL19)</f>
        <v/>
      </c>
      <c r="C19" s="14">
        <f>IF(C9=1,C16*'Допущения'!$D$67+0*'Допущения'!$D$68,0)</f>
        <v/>
      </c>
      <c r="D19" s="14">
        <f>IF(D9=1,D16*'Допущения'!$D$67+C18*'Допущения'!$D$68,0)</f>
        <v/>
      </c>
      <c r="E19" s="14">
        <f>IF(E9=1,E16*'Допущения'!$D$67+D18*'Допущения'!$D$68,0)</f>
        <v/>
      </c>
      <c r="F19" s="14">
        <f>IF(F9=1,F16*'Допущения'!$D$67+E18*'Допущения'!$D$68,0)</f>
        <v/>
      </c>
      <c r="G19" s="14">
        <f>IF(G9=1,G16*'Допущения'!$D$67+F18*'Допущения'!$D$68,0)</f>
        <v/>
      </c>
      <c r="H19" s="14">
        <f>IF(H9=1,H16*'Допущения'!$D$67+G18*'Допущения'!$D$68,0)</f>
        <v/>
      </c>
      <c r="I19" s="14">
        <f>IF(I9=1,I16*'Допущения'!$D$67+H18*'Допущения'!$D$68,0)</f>
        <v/>
      </c>
      <c r="J19" s="14">
        <f>IF(J9=1,J16*'Допущения'!$D$67+I18*'Допущения'!$D$68,0)</f>
        <v/>
      </c>
      <c r="K19" s="14">
        <f>IF(K9=1,K16*'Допущения'!$D$67+J18*'Допущения'!$D$68,0)</f>
        <v/>
      </c>
      <c r="L19" s="14">
        <f>IF(L9=1,L16*'Допущения'!$D$67+K18*'Допущения'!$D$68,0)</f>
        <v/>
      </c>
      <c r="M19" s="14">
        <f>IF(M9=1,M16*'Допущения'!$D$67+L18*'Допущения'!$D$68,0)</f>
        <v/>
      </c>
      <c r="N19" s="14">
        <f>IF(N9=1,N16*'Допущения'!$D$67+M18*'Допущения'!$D$68,0)</f>
        <v/>
      </c>
      <c r="O19" s="14">
        <f>IF(O9=1,O16*'Допущения'!$D$67+N18*'Допущения'!$D$68,0)</f>
        <v/>
      </c>
      <c r="P19" s="14">
        <f>IF(P9=1,P16*'Допущения'!$D$67+O18*'Допущения'!$D$68,0)</f>
        <v/>
      </c>
      <c r="Q19" s="14">
        <f>IF(Q9=1,Q16*'Допущения'!$D$67+P18*'Допущения'!$D$68,0)</f>
        <v/>
      </c>
      <c r="R19" s="14">
        <f>IF(R9=1,R16*'Допущения'!$D$67+Q18*'Допущения'!$D$68,0)</f>
        <v/>
      </c>
      <c r="S19" s="14">
        <f>IF(S9=1,S16*'Допущения'!$D$67+R18*'Допущения'!$D$68,0)</f>
        <v/>
      </c>
      <c r="T19" s="14">
        <f>IF(T9=1,T16*'Допущения'!$D$67+S18*'Допущения'!$D$68,0)</f>
        <v/>
      </c>
      <c r="U19" s="14">
        <f>IF(U9=1,U16*'Допущения'!$D$67+T18*'Допущения'!$D$68,0)</f>
        <v/>
      </c>
      <c r="V19" s="14">
        <f>IF(V9=1,V16*'Допущения'!$D$67+U18*'Допущения'!$D$68,0)</f>
        <v/>
      </c>
      <c r="W19" s="14">
        <f>IF(W9=1,W16*'Допущения'!$D$67+V18*'Допущения'!$D$68,0)</f>
        <v/>
      </c>
      <c r="X19" s="14">
        <f>IF(X9=1,X16*'Допущения'!$D$67+W18*'Допущения'!$D$68,0)</f>
        <v/>
      </c>
      <c r="Y19" s="14">
        <f>IF(Y9=1,Y16*'Допущения'!$D$67+X18*'Допущения'!$D$68,0)</f>
        <v/>
      </c>
      <c r="Z19" s="14">
        <f>IF(Z9=1,Z16*'Допущения'!$D$67+Y18*'Допущения'!$D$68,0)</f>
        <v/>
      </c>
      <c r="AA19" s="14">
        <f>IF(AA9=1,AA16*'Допущения'!$D$67+Z18*'Допущения'!$D$68,0)</f>
        <v/>
      </c>
      <c r="AB19" s="14">
        <f>IF(AB9=1,AB16*'Допущения'!$D$67+AA18*'Допущения'!$D$68,0)</f>
        <v/>
      </c>
      <c r="AC19" s="14">
        <f>IF(AC9=1,AC16*'Допущения'!$D$67+AB18*'Допущения'!$D$68,0)</f>
        <v/>
      </c>
      <c r="AD19" s="14">
        <f>IF(AD9=1,AD16*'Допущения'!$D$67+AC18*'Допущения'!$D$68,0)</f>
        <v/>
      </c>
      <c r="AE19" s="14">
        <f>IF(AE9=1,AE16*'Допущения'!$D$67+AD18*'Допущения'!$D$68,0)</f>
        <v/>
      </c>
      <c r="AF19" s="14">
        <f>IF(AF9=1,AF16*'Допущения'!$D$67+AE18*'Допущения'!$D$68,0)</f>
        <v/>
      </c>
      <c r="AG19" s="14">
        <f>IF(AG9=1,AG16*'Допущения'!$D$67+AF18*'Допущения'!$D$68,0)</f>
        <v/>
      </c>
      <c r="AH19" s="14">
        <f>IF(AH9=1,AH16*'Допущения'!$D$67+AG18*'Допущения'!$D$68,0)</f>
        <v/>
      </c>
      <c r="AI19" s="14">
        <f>IF(AI9=1,AI16*'Допущения'!$D$67+AH18*'Допущения'!$D$68,0)</f>
        <v/>
      </c>
      <c r="AJ19" s="14">
        <f>IF(AJ9=1,AJ16*'Допущения'!$D$67+AI18*'Допущения'!$D$68,0)</f>
        <v/>
      </c>
      <c r="AK19" s="14">
        <f>IF(AK9=1,AK16*'Допущения'!$D$67+AJ18*'Допущения'!$D$68,0)</f>
        <v/>
      </c>
      <c r="AL19" s="14">
        <f>IF(AL9=1,AL16*'Допущения'!$D$67+AK18*'Допущения'!$D$68,0)</f>
        <v/>
      </c>
    </row>
    <row r="20">
      <c r="A20" s="6" t="inlineStr">
        <is>
          <t>Ушедшие платящие</t>
        </is>
      </c>
      <c r="B20" s="48">
        <f>SUM(C20:AL20)</f>
        <v/>
      </c>
      <c r="C20" s="14">
        <f>0*'Допущения'!$D$69</f>
        <v/>
      </c>
      <c r="D20" s="14">
        <f>C21*'Допущения'!$D$69</f>
        <v/>
      </c>
      <c r="E20" s="14">
        <f>D21*'Допущения'!$D$69</f>
        <v/>
      </c>
      <c r="F20" s="14">
        <f>E21*'Допущения'!$D$69</f>
        <v/>
      </c>
      <c r="G20" s="14">
        <f>F21*'Допущения'!$D$69</f>
        <v/>
      </c>
      <c r="H20" s="14">
        <f>G21*'Допущения'!$D$69</f>
        <v/>
      </c>
      <c r="I20" s="14">
        <f>H21*'Допущения'!$D$69</f>
        <v/>
      </c>
      <c r="J20" s="14">
        <f>I21*'Допущения'!$D$69</f>
        <v/>
      </c>
      <c r="K20" s="14">
        <f>J21*'Допущения'!$D$69</f>
        <v/>
      </c>
      <c r="L20" s="14">
        <f>K21*'Допущения'!$D$69</f>
        <v/>
      </c>
      <c r="M20" s="14">
        <f>L21*'Допущения'!$D$69</f>
        <v/>
      </c>
      <c r="N20" s="14">
        <f>M21*'Допущения'!$D$69</f>
        <v/>
      </c>
      <c r="O20" s="14">
        <f>N21*'Допущения'!$D$69</f>
        <v/>
      </c>
      <c r="P20" s="14">
        <f>O21*'Допущения'!$D$69</f>
        <v/>
      </c>
      <c r="Q20" s="14">
        <f>P21*'Допущения'!$D$69</f>
        <v/>
      </c>
      <c r="R20" s="14">
        <f>Q21*'Допущения'!$D$69</f>
        <v/>
      </c>
      <c r="S20" s="14">
        <f>R21*'Допущения'!$D$69</f>
        <v/>
      </c>
      <c r="T20" s="14">
        <f>S21*'Допущения'!$D$69</f>
        <v/>
      </c>
      <c r="U20" s="14">
        <f>T21*'Допущения'!$D$69</f>
        <v/>
      </c>
      <c r="V20" s="14">
        <f>U21*'Допущения'!$D$69</f>
        <v/>
      </c>
      <c r="W20" s="14">
        <f>V21*'Допущения'!$D$69</f>
        <v/>
      </c>
      <c r="X20" s="14">
        <f>W21*'Допущения'!$D$69</f>
        <v/>
      </c>
      <c r="Y20" s="14">
        <f>X21*'Допущения'!$D$69</f>
        <v/>
      </c>
      <c r="Z20" s="14">
        <f>Y21*'Допущения'!$D$69</f>
        <v/>
      </c>
      <c r="AA20" s="14">
        <f>Z21*'Допущения'!$D$69</f>
        <v/>
      </c>
      <c r="AB20" s="14">
        <f>AA21*'Допущения'!$D$69</f>
        <v/>
      </c>
      <c r="AC20" s="14">
        <f>AB21*'Допущения'!$D$69</f>
        <v/>
      </c>
      <c r="AD20" s="14">
        <f>AC21*'Допущения'!$D$69</f>
        <v/>
      </c>
      <c r="AE20" s="14">
        <f>AD21*'Допущения'!$D$69</f>
        <v/>
      </c>
      <c r="AF20" s="14">
        <f>AE21*'Допущения'!$D$69</f>
        <v/>
      </c>
      <c r="AG20" s="14">
        <f>AF21*'Допущения'!$D$69</f>
        <v/>
      </c>
      <c r="AH20" s="14">
        <f>AG21*'Допущения'!$D$69</f>
        <v/>
      </c>
      <c r="AI20" s="14">
        <f>AH21*'Допущения'!$D$69</f>
        <v/>
      </c>
      <c r="AJ20" s="14">
        <f>AI21*'Допущения'!$D$69</f>
        <v/>
      </c>
      <c r="AK20" s="14">
        <f>AJ21*'Допущения'!$D$69</f>
        <v/>
      </c>
      <c r="AL20" s="14">
        <f>AK21*'Допущения'!$D$69</f>
        <v/>
      </c>
    </row>
    <row r="21">
      <c r="A21" s="6" t="inlineStr">
        <is>
          <t>Платящие (на конец мес.)</t>
        </is>
      </c>
      <c r="C21" s="14">
        <f>0+C19-C20</f>
        <v/>
      </c>
      <c r="D21" s="14">
        <f>C21+D19-D20</f>
        <v/>
      </c>
      <c r="E21" s="14">
        <f>D21+E19-E20</f>
        <v/>
      </c>
      <c r="F21" s="14">
        <f>E21+F19-F20</f>
        <v/>
      </c>
      <c r="G21" s="14">
        <f>F21+G19-G20</f>
        <v/>
      </c>
      <c r="H21" s="14">
        <f>G21+H19-H20</f>
        <v/>
      </c>
      <c r="I21" s="14">
        <f>H21+I19-I20</f>
        <v/>
      </c>
      <c r="J21" s="14">
        <f>I21+J19-J20</f>
        <v/>
      </c>
      <c r="K21" s="14">
        <f>J21+K19-K20</f>
        <v/>
      </c>
      <c r="L21" s="14">
        <f>K21+L19-L20</f>
        <v/>
      </c>
      <c r="M21" s="14">
        <f>L21+M19-M20</f>
        <v/>
      </c>
      <c r="N21" s="14">
        <f>M21+N19-N20</f>
        <v/>
      </c>
      <c r="O21" s="14">
        <f>N21+O19-O20</f>
        <v/>
      </c>
      <c r="P21" s="14">
        <f>O21+P19-P20</f>
        <v/>
      </c>
      <c r="Q21" s="14">
        <f>P21+Q19-Q20</f>
        <v/>
      </c>
      <c r="R21" s="14">
        <f>Q21+R19-R20</f>
        <v/>
      </c>
      <c r="S21" s="14">
        <f>R21+S19-S20</f>
        <v/>
      </c>
      <c r="T21" s="14">
        <f>S21+T19-T20</f>
        <v/>
      </c>
      <c r="U21" s="14">
        <f>T21+U19-U20</f>
        <v/>
      </c>
      <c r="V21" s="14">
        <f>U21+V19-V20</f>
        <v/>
      </c>
      <c r="W21" s="14">
        <f>V21+W19-W20</f>
        <v/>
      </c>
      <c r="X21" s="14">
        <f>W21+X19-X20</f>
        <v/>
      </c>
      <c r="Y21" s="14">
        <f>X21+Y19-Y20</f>
        <v/>
      </c>
      <c r="Z21" s="14">
        <f>Y21+Z19-Z20</f>
        <v/>
      </c>
      <c r="AA21" s="14">
        <f>Z21+AA19-AA20</f>
        <v/>
      </c>
      <c r="AB21" s="14">
        <f>AA21+AB19-AB20</f>
        <v/>
      </c>
      <c r="AC21" s="14">
        <f>AB21+AC19-AC20</f>
        <v/>
      </c>
      <c r="AD21" s="14">
        <f>AC21+AD19-AD20</f>
        <v/>
      </c>
      <c r="AE21" s="14">
        <f>AD21+AE19-AE20</f>
        <v/>
      </c>
      <c r="AF21" s="14">
        <f>AE21+AF19-AF20</f>
        <v/>
      </c>
      <c r="AG21" s="14">
        <f>AF21+AG19-AG20</f>
        <v/>
      </c>
      <c r="AH21" s="14">
        <f>AG21+AH19-AH20</f>
        <v/>
      </c>
      <c r="AI21" s="14">
        <f>AH21+AI19-AI20</f>
        <v/>
      </c>
      <c r="AJ21" s="14">
        <f>AI21+AJ19-AJ20</f>
        <v/>
      </c>
      <c r="AK21" s="14">
        <f>AJ21+AK19-AK20</f>
        <v/>
      </c>
      <c r="AL21" s="14">
        <f>AK21+AL19-AL20</f>
        <v/>
      </c>
    </row>
    <row r="22">
      <c r="A22" s="6" t="inlineStr">
        <is>
          <t>Активные пользователи всего</t>
        </is>
      </c>
      <c r="C22" s="14">
        <f>C17+C18+C21</f>
        <v/>
      </c>
      <c r="D22" s="14">
        <f>D17+D18+D21</f>
        <v/>
      </c>
      <c r="E22" s="14">
        <f>E17+E18+E21</f>
        <v/>
      </c>
      <c r="F22" s="14">
        <f>F17+F18+F21</f>
        <v/>
      </c>
      <c r="G22" s="14">
        <f>G17+G18+G21</f>
        <v/>
      </c>
      <c r="H22" s="14">
        <f>H17+H18+H21</f>
        <v/>
      </c>
      <c r="I22" s="14">
        <f>I17+I18+I21</f>
        <v/>
      </c>
      <c r="J22" s="14">
        <f>J17+J18+J21</f>
        <v/>
      </c>
      <c r="K22" s="14">
        <f>K17+K18+K21</f>
        <v/>
      </c>
      <c r="L22" s="14">
        <f>L17+L18+L21</f>
        <v/>
      </c>
      <c r="M22" s="14">
        <f>M17+M18+M21</f>
        <v/>
      </c>
      <c r="N22" s="14">
        <f>N17+N18+N21</f>
        <v/>
      </c>
      <c r="O22" s="14">
        <f>O17+O18+O21</f>
        <v/>
      </c>
      <c r="P22" s="14">
        <f>P17+P18+P21</f>
        <v/>
      </c>
      <c r="Q22" s="14">
        <f>Q17+Q18+Q21</f>
        <v/>
      </c>
      <c r="R22" s="14">
        <f>R17+R18+R21</f>
        <v/>
      </c>
      <c r="S22" s="14">
        <f>S17+S18+S21</f>
        <v/>
      </c>
      <c r="T22" s="14">
        <f>T17+T18+T21</f>
        <v/>
      </c>
      <c r="U22" s="14">
        <f>U17+U18+U21</f>
        <v/>
      </c>
      <c r="V22" s="14">
        <f>V17+V18+V21</f>
        <v/>
      </c>
      <c r="W22" s="14">
        <f>W17+W18+W21</f>
        <v/>
      </c>
      <c r="X22" s="14">
        <f>X17+X18+X21</f>
        <v/>
      </c>
      <c r="Y22" s="14">
        <f>Y17+Y18+Y21</f>
        <v/>
      </c>
      <c r="Z22" s="14">
        <f>Z17+Z18+Z21</f>
        <v/>
      </c>
      <c r="AA22" s="14">
        <f>AA17+AA18+AA21</f>
        <v/>
      </c>
      <c r="AB22" s="14">
        <f>AB17+AB18+AB21</f>
        <v/>
      </c>
      <c r="AC22" s="14">
        <f>AC17+AC18+AC21</f>
        <v/>
      </c>
      <c r="AD22" s="14">
        <f>AD17+AD18+AD21</f>
        <v/>
      </c>
      <c r="AE22" s="14">
        <f>AE17+AE18+AE21</f>
        <v/>
      </c>
      <c r="AF22" s="14">
        <f>AF17+AF18+AF21</f>
        <v/>
      </c>
      <c r="AG22" s="14">
        <f>AG17+AG18+AG21</f>
        <v/>
      </c>
      <c r="AH22" s="14">
        <f>AH17+AH18+AH21</f>
        <v/>
      </c>
      <c r="AI22" s="14">
        <f>AI17+AI18+AI21</f>
        <v/>
      </c>
      <c r="AJ22" s="14">
        <f>AJ17+AJ18+AJ21</f>
        <v/>
      </c>
      <c r="AK22" s="14">
        <f>AK17+AK18+AK21</f>
        <v/>
      </c>
      <c r="AL22" s="14">
        <f>AL17+AL18+AL21</f>
        <v/>
      </c>
    </row>
    <row r="23">
      <c r="A23" s="4" t="inlineStr">
        <is>
          <t>ВЫРУЧКА, $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</row>
    <row r="24">
      <c r="A24" s="6" t="inlineStr">
        <is>
          <t>Оплаты подписок (брутто)</t>
        </is>
      </c>
      <c r="B24" s="44">
        <f>SUM(C24:AL24)</f>
        <v/>
      </c>
      <c r="C24" s="21">
        <f>C21*'Себестоимость'!$D$12</f>
        <v/>
      </c>
      <c r="D24" s="21">
        <f>D21*'Себестоимость'!$D$12</f>
        <v/>
      </c>
      <c r="E24" s="21">
        <f>E21*'Себестоимость'!$D$12</f>
        <v/>
      </c>
      <c r="F24" s="21">
        <f>F21*'Себестоимость'!$D$12</f>
        <v/>
      </c>
      <c r="G24" s="21">
        <f>G21*'Себестоимость'!$D$12</f>
        <v/>
      </c>
      <c r="H24" s="21">
        <f>H21*'Себестоимость'!$D$12</f>
        <v/>
      </c>
      <c r="I24" s="21">
        <f>I21*'Себестоимость'!$D$12</f>
        <v/>
      </c>
      <c r="J24" s="21">
        <f>J21*'Себестоимость'!$D$12</f>
        <v/>
      </c>
      <c r="K24" s="21">
        <f>K21*'Себестоимость'!$D$12</f>
        <v/>
      </c>
      <c r="L24" s="21">
        <f>L21*'Себестоимость'!$D$12</f>
        <v/>
      </c>
      <c r="M24" s="21">
        <f>M21*'Себестоимость'!$D$12</f>
        <v/>
      </c>
      <c r="N24" s="21">
        <f>N21*'Себестоимость'!$D$12</f>
        <v/>
      </c>
      <c r="O24" s="21">
        <f>O21*'Себестоимость'!$D$12</f>
        <v/>
      </c>
      <c r="P24" s="21">
        <f>P21*'Себестоимость'!$D$12</f>
        <v/>
      </c>
      <c r="Q24" s="21">
        <f>Q21*'Себестоимость'!$D$12</f>
        <v/>
      </c>
      <c r="R24" s="21">
        <f>R21*'Себестоимость'!$D$12</f>
        <v/>
      </c>
      <c r="S24" s="21">
        <f>S21*'Себестоимость'!$D$12</f>
        <v/>
      </c>
      <c r="T24" s="21">
        <f>T21*'Себестоимость'!$D$12</f>
        <v/>
      </c>
      <c r="U24" s="21">
        <f>U21*'Себестоимость'!$D$12</f>
        <v/>
      </c>
      <c r="V24" s="21">
        <f>V21*'Себестоимость'!$D$12</f>
        <v/>
      </c>
      <c r="W24" s="21">
        <f>W21*'Себестоимость'!$D$12</f>
        <v/>
      </c>
      <c r="X24" s="21">
        <f>X21*'Себестоимость'!$D$12</f>
        <v/>
      </c>
      <c r="Y24" s="21">
        <f>Y21*'Себестоимость'!$D$12</f>
        <v/>
      </c>
      <c r="Z24" s="21">
        <f>Z21*'Себестоимость'!$D$12</f>
        <v/>
      </c>
      <c r="AA24" s="21">
        <f>AA21*'Себестоимость'!$D$12</f>
        <v/>
      </c>
      <c r="AB24" s="21">
        <f>AB21*'Себестоимость'!$D$12</f>
        <v/>
      </c>
      <c r="AC24" s="21">
        <f>AC21*'Себестоимость'!$D$12</f>
        <v/>
      </c>
      <c r="AD24" s="21">
        <f>AD21*'Себестоимость'!$D$12</f>
        <v/>
      </c>
      <c r="AE24" s="21">
        <f>AE21*'Себестоимость'!$D$12</f>
        <v/>
      </c>
      <c r="AF24" s="21">
        <f>AF21*'Себестоимость'!$D$12</f>
        <v/>
      </c>
      <c r="AG24" s="21">
        <f>AG21*'Себестоимость'!$D$12</f>
        <v/>
      </c>
      <c r="AH24" s="21">
        <f>AH21*'Себестоимость'!$D$12</f>
        <v/>
      </c>
      <c r="AI24" s="21">
        <f>AI21*'Себестоимость'!$D$12</f>
        <v/>
      </c>
      <c r="AJ24" s="21">
        <f>AJ21*'Себестоимость'!$D$12</f>
        <v/>
      </c>
      <c r="AK24" s="21">
        <f>AK21*'Себестоимость'!$D$12</f>
        <v/>
      </c>
      <c r="AL24" s="21">
        <f>AL21*'Себестоимость'!$D$12</f>
        <v/>
      </c>
    </row>
    <row r="25">
      <c r="A25" s="6" t="inlineStr">
        <is>
          <t>Комиссии магазинов/Paddle и НДС</t>
        </is>
      </c>
      <c r="B25" s="44">
        <f>SUM(C25:AL25)</f>
        <v/>
      </c>
      <c r="C25" s="21">
        <f>C24-C26</f>
        <v/>
      </c>
      <c r="D25" s="21">
        <f>D24-D26</f>
        <v/>
      </c>
      <c r="E25" s="21">
        <f>E24-E26</f>
        <v/>
      </c>
      <c r="F25" s="21">
        <f>F24-F26</f>
        <v/>
      </c>
      <c r="G25" s="21">
        <f>G24-G26</f>
        <v/>
      </c>
      <c r="H25" s="21">
        <f>H24-H26</f>
        <v/>
      </c>
      <c r="I25" s="21">
        <f>I24-I26</f>
        <v/>
      </c>
      <c r="J25" s="21">
        <f>J24-J26</f>
        <v/>
      </c>
      <c r="K25" s="21">
        <f>K24-K26</f>
        <v/>
      </c>
      <c r="L25" s="21">
        <f>L24-L26</f>
        <v/>
      </c>
      <c r="M25" s="21">
        <f>M24-M26</f>
        <v/>
      </c>
      <c r="N25" s="21">
        <f>N24-N26</f>
        <v/>
      </c>
      <c r="O25" s="21">
        <f>O24-O26</f>
        <v/>
      </c>
      <c r="P25" s="21">
        <f>P24-P26</f>
        <v/>
      </c>
      <c r="Q25" s="21">
        <f>Q24-Q26</f>
        <v/>
      </c>
      <c r="R25" s="21">
        <f>R24-R26</f>
        <v/>
      </c>
      <c r="S25" s="21">
        <f>S24-S26</f>
        <v/>
      </c>
      <c r="T25" s="21">
        <f>T24-T26</f>
        <v/>
      </c>
      <c r="U25" s="21">
        <f>U24-U26</f>
        <v/>
      </c>
      <c r="V25" s="21">
        <f>V24-V26</f>
        <v/>
      </c>
      <c r="W25" s="21">
        <f>W24-W26</f>
        <v/>
      </c>
      <c r="X25" s="21">
        <f>X24-X26</f>
        <v/>
      </c>
      <c r="Y25" s="21">
        <f>Y24-Y26</f>
        <v/>
      </c>
      <c r="Z25" s="21">
        <f>Z24-Z26</f>
        <v/>
      </c>
      <c r="AA25" s="21">
        <f>AA24-AA26</f>
        <v/>
      </c>
      <c r="AB25" s="21">
        <f>AB24-AB26</f>
        <v/>
      </c>
      <c r="AC25" s="21">
        <f>AC24-AC26</f>
        <v/>
      </c>
      <c r="AD25" s="21">
        <f>AD24-AD26</f>
        <v/>
      </c>
      <c r="AE25" s="21">
        <f>AE24-AE26</f>
        <v/>
      </c>
      <c r="AF25" s="21">
        <f>AF24-AF26</f>
        <v/>
      </c>
      <c r="AG25" s="21">
        <f>AG24-AG26</f>
        <v/>
      </c>
      <c r="AH25" s="21">
        <f>AH24-AH26</f>
        <v/>
      </c>
      <c r="AI25" s="21">
        <f>AI24-AI26</f>
        <v/>
      </c>
      <c r="AJ25" s="21">
        <f>AJ24-AJ26</f>
        <v/>
      </c>
      <c r="AK25" s="21">
        <f>AK24-AK26</f>
        <v/>
      </c>
      <c r="AL25" s="21">
        <f>AL24-AL26</f>
        <v/>
      </c>
    </row>
    <row r="26">
      <c r="A26" s="6" t="inlineStr">
        <is>
          <t>Чистая выручка подписок</t>
        </is>
      </c>
      <c r="B26" s="44">
        <f>SUM(C26:AL26)</f>
        <v/>
      </c>
      <c r="C26" s="21">
        <f>C21*'Себестоимость'!$D$13</f>
        <v/>
      </c>
      <c r="D26" s="21">
        <f>D21*'Себестоимость'!$D$13</f>
        <v/>
      </c>
      <c r="E26" s="21">
        <f>E21*'Себестоимость'!$D$13</f>
        <v/>
      </c>
      <c r="F26" s="21">
        <f>F21*'Себестоимость'!$D$13</f>
        <v/>
      </c>
      <c r="G26" s="21">
        <f>G21*'Себестоимость'!$D$13</f>
        <v/>
      </c>
      <c r="H26" s="21">
        <f>H21*'Себестоимость'!$D$13</f>
        <v/>
      </c>
      <c r="I26" s="21">
        <f>I21*'Себестоимость'!$D$13</f>
        <v/>
      </c>
      <c r="J26" s="21">
        <f>J21*'Себестоимость'!$D$13</f>
        <v/>
      </c>
      <c r="K26" s="21">
        <f>K21*'Себестоимость'!$D$13</f>
        <v/>
      </c>
      <c r="L26" s="21">
        <f>L21*'Себестоимость'!$D$13</f>
        <v/>
      </c>
      <c r="M26" s="21">
        <f>M21*'Себестоимость'!$D$13</f>
        <v/>
      </c>
      <c r="N26" s="21">
        <f>N21*'Себестоимость'!$D$13</f>
        <v/>
      </c>
      <c r="O26" s="21">
        <f>O21*'Себестоимость'!$D$13</f>
        <v/>
      </c>
      <c r="P26" s="21">
        <f>P21*'Себестоимость'!$D$13</f>
        <v/>
      </c>
      <c r="Q26" s="21">
        <f>Q21*'Себестоимость'!$D$13</f>
        <v/>
      </c>
      <c r="R26" s="21">
        <f>R21*'Себестоимость'!$D$13</f>
        <v/>
      </c>
      <c r="S26" s="21">
        <f>S21*'Себестоимость'!$D$13</f>
        <v/>
      </c>
      <c r="T26" s="21">
        <f>T21*'Себестоимость'!$D$13</f>
        <v/>
      </c>
      <c r="U26" s="21">
        <f>U21*'Себестоимость'!$D$13</f>
        <v/>
      </c>
      <c r="V26" s="21">
        <f>V21*'Себестоимость'!$D$13</f>
        <v/>
      </c>
      <c r="W26" s="21">
        <f>W21*'Себестоимость'!$D$13</f>
        <v/>
      </c>
      <c r="X26" s="21">
        <f>X21*'Себестоимость'!$D$13</f>
        <v/>
      </c>
      <c r="Y26" s="21">
        <f>Y21*'Себестоимость'!$D$13</f>
        <v/>
      </c>
      <c r="Z26" s="21">
        <f>Z21*'Себестоимость'!$D$13</f>
        <v/>
      </c>
      <c r="AA26" s="21">
        <f>AA21*'Себестоимость'!$D$13</f>
        <v/>
      </c>
      <c r="AB26" s="21">
        <f>AB21*'Себестоимость'!$D$13</f>
        <v/>
      </c>
      <c r="AC26" s="21">
        <f>AC21*'Себестоимость'!$D$13</f>
        <v/>
      </c>
      <c r="AD26" s="21">
        <f>AD21*'Себестоимость'!$D$13</f>
        <v/>
      </c>
      <c r="AE26" s="21">
        <f>AE21*'Себестоимость'!$D$13</f>
        <v/>
      </c>
      <c r="AF26" s="21">
        <f>AF21*'Себестоимость'!$D$13</f>
        <v/>
      </c>
      <c r="AG26" s="21">
        <f>AG21*'Себестоимость'!$D$13</f>
        <v/>
      </c>
      <c r="AH26" s="21">
        <f>AH21*'Себестоимость'!$D$13</f>
        <v/>
      </c>
      <c r="AI26" s="21">
        <f>AI21*'Себестоимость'!$D$13</f>
        <v/>
      </c>
      <c r="AJ26" s="21">
        <f>AJ21*'Себестоимость'!$D$13</f>
        <v/>
      </c>
      <c r="AK26" s="21">
        <f>AK21*'Себестоимость'!$D$13</f>
        <v/>
      </c>
      <c r="AL26" s="21">
        <f>AL21*'Себестоимость'!$D$13</f>
        <v/>
      </c>
    </row>
    <row r="27">
      <c r="A27" s="6" t="inlineStr">
        <is>
          <t>Донаты (чистые)</t>
        </is>
      </c>
      <c r="B27" s="44">
        <f>SUM(C27:AL27)</f>
        <v/>
      </c>
      <c r="C27" s="21">
        <f>C17*'Допущения'!$D$75*'Допущения'!$D$76*(1-'Допущения'!$D$77)</f>
        <v/>
      </c>
      <c r="D27" s="21">
        <f>D17*'Допущения'!$D$75*'Допущения'!$D$76*(1-'Допущения'!$D$77)</f>
        <v/>
      </c>
      <c r="E27" s="21">
        <f>E17*'Допущения'!$D$75*'Допущения'!$D$76*(1-'Допущения'!$D$77)</f>
        <v/>
      </c>
      <c r="F27" s="21">
        <f>F17*'Допущения'!$D$75*'Допущения'!$D$76*(1-'Допущения'!$D$77)</f>
        <v/>
      </c>
      <c r="G27" s="21">
        <f>G17*'Допущения'!$D$75*'Допущения'!$D$76*(1-'Допущения'!$D$77)</f>
        <v/>
      </c>
      <c r="H27" s="21">
        <f>H17*'Допущения'!$D$75*'Допущения'!$D$76*(1-'Допущения'!$D$77)</f>
        <v/>
      </c>
      <c r="I27" s="21">
        <f>I17*'Допущения'!$D$75*'Допущения'!$D$76*(1-'Допущения'!$D$77)</f>
        <v/>
      </c>
      <c r="J27" s="21">
        <f>J17*'Допущения'!$D$75*'Допущения'!$D$76*(1-'Допущения'!$D$77)</f>
        <v/>
      </c>
      <c r="K27" s="21">
        <f>K17*'Допущения'!$D$75*'Допущения'!$D$76*(1-'Допущения'!$D$77)</f>
        <v/>
      </c>
      <c r="L27" s="21">
        <f>L17*'Допущения'!$D$75*'Допущения'!$D$76*(1-'Допущения'!$D$77)</f>
        <v/>
      </c>
      <c r="M27" s="21">
        <f>M17*'Допущения'!$D$75*'Допущения'!$D$76*(1-'Допущения'!$D$77)</f>
        <v/>
      </c>
      <c r="N27" s="21">
        <f>N17*'Допущения'!$D$75*'Допущения'!$D$76*(1-'Допущения'!$D$77)</f>
        <v/>
      </c>
      <c r="O27" s="21">
        <f>O17*'Допущения'!$D$75*'Допущения'!$D$76*(1-'Допущения'!$D$77)</f>
        <v/>
      </c>
      <c r="P27" s="21">
        <f>P17*'Допущения'!$D$75*'Допущения'!$D$76*(1-'Допущения'!$D$77)</f>
        <v/>
      </c>
      <c r="Q27" s="21">
        <f>Q17*'Допущения'!$D$75*'Допущения'!$D$76*(1-'Допущения'!$D$77)</f>
        <v/>
      </c>
      <c r="R27" s="21">
        <f>R17*'Допущения'!$D$75*'Допущения'!$D$76*(1-'Допущения'!$D$77)</f>
        <v/>
      </c>
      <c r="S27" s="21">
        <f>S17*'Допущения'!$D$75*'Допущения'!$D$76*(1-'Допущения'!$D$77)</f>
        <v/>
      </c>
      <c r="T27" s="21">
        <f>T17*'Допущения'!$D$75*'Допущения'!$D$76*(1-'Допущения'!$D$77)</f>
        <v/>
      </c>
      <c r="U27" s="21">
        <f>U17*'Допущения'!$D$75*'Допущения'!$D$76*(1-'Допущения'!$D$77)</f>
        <v/>
      </c>
      <c r="V27" s="21">
        <f>V17*'Допущения'!$D$75*'Допущения'!$D$76*(1-'Допущения'!$D$77)</f>
        <v/>
      </c>
      <c r="W27" s="21">
        <f>W17*'Допущения'!$D$75*'Допущения'!$D$76*(1-'Допущения'!$D$77)</f>
        <v/>
      </c>
      <c r="X27" s="21">
        <f>X17*'Допущения'!$D$75*'Допущения'!$D$76*(1-'Допущения'!$D$77)</f>
        <v/>
      </c>
      <c r="Y27" s="21">
        <f>Y17*'Допущения'!$D$75*'Допущения'!$D$76*(1-'Допущения'!$D$77)</f>
        <v/>
      </c>
      <c r="Z27" s="21">
        <f>Z17*'Допущения'!$D$75*'Допущения'!$D$76*(1-'Допущения'!$D$77)</f>
        <v/>
      </c>
      <c r="AA27" s="21">
        <f>AA17*'Допущения'!$D$75*'Допущения'!$D$76*(1-'Допущения'!$D$77)</f>
        <v/>
      </c>
      <c r="AB27" s="21">
        <f>AB17*'Допущения'!$D$75*'Допущения'!$D$76*(1-'Допущения'!$D$77)</f>
        <v/>
      </c>
      <c r="AC27" s="21">
        <f>AC17*'Допущения'!$D$75*'Допущения'!$D$76*(1-'Допущения'!$D$77)</f>
        <v/>
      </c>
      <c r="AD27" s="21">
        <f>AD17*'Допущения'!$D$75*'Допущения'!$D$76*(1-'Допущения'!$D$77)</f>
        <v/>
      </c>
      <c r="AE27" s="21">
        <f>AE17*'Допущения'!$D$75*'Допущения'!$D$76*(1-'Допущения'!$D$77)</f>
        <v/>
      </c>
      <c r="AF27" s="21">
        <f>AF17*'Допущения'!$D$75*'Допущения'!$D$76*(1-'Допущения'!$D$77)</f>
        <v/>
      </c>
      <c r="AG27" s="21">
        <f>AG17*'Допущения'!$D$75*'Допущения'!$D$76*(1-'Допущения'!$D$77)</f>
        <v/>
      </c>
      <c r="AH27" s="21">
        <f>AH17*'Допущения'!$D$75*'Допущения'!$D$76*(1-'Допущения'!$D$77)</f>
        <v/>
      </c>
      <c r="AI27" s="21">
        <f>AI17*'Допущения'!$D$75*'Допущения'!$D$76*(1-'Допущения'!$D$77)</f>
        <v/>
      </c>
      <c r="AJ27" s="21">
        <f>AJ17*'Допущения'!$D$75*'Допущения'!$D$76*(1-'Допущения'!$D$77)</f>
        <v/>
      </c>
      <c r="AK27" s="21">
        <f>AK17*'Допущения'!$D$75*'Допущения'!$D$76*(1-'Допущения'!$D$77)</f>
        <v/>
      </c>
      <c r="AL27" s="21">
        <f>AL17*'Допущения'!$D$75*'Допущения'!$D$76*(1-'Допущения'!$D$77)</f>
        <v/>
      </c>
    </row>
    <row r="28">
      <c r="A28" s="6" t="inlineStr">
        <is>
          <t>Итого чистая выручка</t>
        </is>
      </c>
      <c r="B28" s="44">
        <f>SUM(C28:AL28)</f>
        <v/>
      </c>
      <c r="C28" s="21">
        <f>C26+C27</f>
        <v/>
      </c>
      <c r="D28" s="21">
        <f>D26+D27</f>
        <v/>
      </c>
      <c r="E28" s="21">
        <f>E26+E27</f>
        <v/>
      </c>
      <c r="F28" s="21">
        <f>F26+F27</f>
        <v/>
      </c>
      <c r="G28" s="21">
        <f>G26+G27</f>
        <v/>
      </c>
      <c r="H28" s="21">
        <f>H26+H27</f>
        <v/>
      </c>
      <c r="I28" s="21">
        <f>I26+I27</f>
        <v/>
      </c>
      <c r="J28" s="21">
        <f>J26+J27</f>
        <v/>
      </c>
      <c r="K28" s="21">
        <f>K26+K27</f>
        <v/>
      </c>
      <c r="L28" s="21">
        <f>L26+L27</f>
        <v/>
      </c>
      <c r="M28" s="21">
        <f>M26+M27</f>
        <v/>
      </c>
      <c r="N28" s="21">
        <f>N26+N27</f>
        <v/>
      </c>
      <c r="O28" s="21">
        <f>O26+O27</f>
        <v/>
      </c>
      <c r="P28" s="21">
        <f>P26+P27</f>
        <v/>
      </c>
      <c r="Q28" s="21">
        <f>Q26+Q27</f>
        <v/>
      </c>
      <c r="R28" s="21">
        <f>R26+R27</f>
        <v/>
      </c>
      <c r="S28" s="21">
        <f>S26+S27</f>
        <v/>
      </c>
      <c r="T28" s="21">
        <f>T26+T27</f>
        <v/>
      </c>
      <c r="U28" s="21">
        <f>U26+U27</f>
        <v/>
      </c>
      <c r="V28" s="21">
        <f>V26+V27</f>
        <v/>
      </c>
      <c r="W28" s="21">
        <f>W26+W27</f>
        <v/>
      </c>
      <c r="X28" s="21">
        <f>X26+X27</f>
        <v/>
      </c>
      <c r="Y28" s="21">
        <f>Y26+Y27</f>
        <v/>
      </c>
      <c r="Z28" s="21">
        <f>Z26+Z27</f>
        <v/>
      </c>
      <c r="AA28" s="21">
        <f>AA26+AA27</f>
        <v/>
      </c>
      <c r="AB28" s="21">
        <f>AB26+AB27</f>
        <v/>
      </c>
      <c r="AC28" s="21">
        <f>AC26+AC27</f>
        <v/>
      </c>
      <c r="AD28" s="21">
        <f>AD26+AD27</f>
        <v/>
      </c>
      <c r="AE28" s="21">
        <f>AE26+AE27</f>
        <v/>
      </c>
      <c r="AF28" s="21">
        <f>AF26+AF27</f>
        <v/>
      </c>
      <c r="AG28" s="21">
        <f>AG26+AG27</f>
        <v/>
      </c>
      <c r="AH28" s="21">
        <f>AH26+AH27</f>
        <v/>
      </c>
      <c r="AI28" s="21">
        <f>AI26+AI27</f>
        <v/>
      </c>
      <c r="AJ28" s="21">
        <f>AJ26+AJ27</f>
        <v/>
      </c>
      <c r="AK28" s="21">
        <f>AK26+AK27</f>
        <v/>
      </c>
      <c r="AL28" s="21">
        <f>AL26+AL27</f>
        <v/>
      </c>
    </row>
    <row r="29">
      <c r="A29" s="4" t="inlineStr">
        <is>
          <t>ПЕРЕМЕННЫЕ ЗАТРАТЫ, $</t>
        </is>
      </c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</row>
    <row r="30">
      <c r="A30" s="6" t="inlineStr">
        <is>
          <t>LLM: платящие</t>
        </is>
      </c>
      <c r="B30" s="44">
        <f>SUM(C30:AL30)</f>
        <v/>
      </c>
      <c r="C30" s="21">
        <f>C21*'Себестоимость'!$D$14</f>
        <v/>
      </c>
      <c r="D30" s="21">
        <f>D21*'Себестоимость'!$D$14</f>
        <v/>
      </c>
      <c r="E30" s="21">
        <f>E21*'Себестоимость'!$D$14</f>
        <v/>
      </c>
      <c r="F30" s="21">
        <f>F21*'Себестоимость'!$D$14</f>
        <v/>
      </c>
      <c r="G30" s="21">
        <f>G21*'Себестоимость'!$D$14</f>
        <v/>
      </c>
      <c r="H30" s="21">
        <f>H21*'Себестоимость'!$D$14</f>
        <v/>
      </c>
      <c r="I30" s="21">
        <f>I21*'Себестоимость'!$D$14</f>
        <v/>
      </c>
      <c r="J30" s="21">
        <f>J21*'Себестоимость'!$D$14</f>
        <v/>
      </c>
      <c r="K30" s="21">
        <f>K21*'Себестоимость'!$D$14</f>
        <v/>
      </c>
      <c r="L30" s="21">
        <f>L21*'Себестоимость'!$D$14</f>
        <v/>
      </c>
      <c r="M30" s="21">
        <f>M21*'Себестоимость'!$D$14</f>
        <v/>
      </c>
      <c r="N30" s="21">
        <f>N21*'Себестоимость'!$D$14</f>
        <v/>
      </c>
      <c r="O30" s="21">
        <f>O21*'Себестоимость'!$D$14</f>
        <v/>
      </c>
      <c r="P30" s="21">
        <f>P21*'Себестоимость'!$D$14</f>
        <v/>
      </c>
      <c r="Q30" s="21">
        <f>Q21*'Себестоимость'!$D$14</f>
        <v/>
      </c>
      <c r="R30" s="21">
        <f>R21*'Себестоимость'!$D$14</f>
        <v/>
      </c>
      <c r="S30" s="21">
        <f>S21*'Себестоимость'!$D$14</f>
        <v/>
      </c>
      <c r="T30" s="21">
        <f>T21*'Себестоимость'!$D$14</f>
        <v/>
      </c>
      <c r="U30" s="21">
        <f>U21*'Себестоимость'!$D$14</f>
        <v/>
      </c>
      <c r="V30" s="21">
        <f>V21*'Себестоимость'!$D$14</f>
        <v/>
      </c>
      <c r="W30" s="21">
        <f>W21*'Себестоимость'!$D$14</f>
        <v/>
      </c>
      <c r="X30" s="21">
        <f>X21*'Себестоимость'!$D$14</f>
        <v/>
      </c>
      <c r="Y30" s="21">
        <f>Y21*'Себестоимость'!$D$14</f>
        <v/>
      </c>
      <c r="Z30" s="21">
        <f>Z21*'Себестоимость'!$D$14</f>
        <v/>
      </c>
      <c r="AA30" s="21">
        <f>AA21*'Себестоимость'!$D$14</f>
        <v/>
      </c>
      <c r="AB30" s="21">
        <f>AB21*'Себестоимость'!$D$14</f>
        <v/>
      </c>
      <c r="AC30" s="21">
        <f>AC21*'Себестоимость'!$D$14</f>
        <v/>
      </c>
      <c r="AD30" s="21">
        <f>AD21*'Себестоимость'!$D$14</f>
        <v/>
      </c>
      <c r="AE30" s="21">
        <f>AE21*'Себестоимость'!$D$14</f>
        <v/>
      </c>
      <c r="AF30" s="21">
        <f>AF21*'Себестоимость'!$D$14</f>
        <v/>
      </c>
      <c r="AG30" s="21">
        <f>AG21*'Себестоимость'!$D$14</f>
        <v/>
      </c>
      <c r="AH30" s="21">
        <f>AH21*'Себестоимость'!$D$14</f>
        <v/>
      </c>
      <c r="AI30" s="21">
        <f>AI21*'Себестоимость'!$D$14</f>
        <v/>
      </c>
      <c r="AJ30" s="21">
        <f>AJ21*'Себестоимость'!$D$14</f>
        <v/>
      </c>
      <c r="AK30" s="21">
        <f>AK21*'Себестоимость'!$D$14</f>
        <v/>
      </c>
      <c r="AL30" s="21">
        <f>AL21*'Себестоимость'!$D$14</f>
        <v/>
      </c>
    </row>
    <row r="31">
      <c r="A31" s="6" t="inlineStr">
        <is>
          <t>LLM: free и прототип</t>
        </is>
      </c>
      <c r="B31" s="44">
        <f>SUM(C31:AL31)</f>
        <v/>
      </c>
      <c r="C31" s="21">
        <f>C18*'Себестоимость'!$D$16+C17*'Допущения'!$D$74*'Себестоимость'!$D$7</f>
        <v/>
      </c>
      <c r="D31" s="21">
        <f>D18*'Себестоимость'!$D$16+D17*'Допущения'!$D$74*'Себестоимость'!$D$7</f>
        <v/>
      </c>
      <c r="E31" s="21">
        <f>E18*'Себестоимость'!$D$16+E17*'Допущения'!$D$74*'Себестоимость'!$D$7</f>
        <v/>
      </c>
      <c r="F31" s="21">
        <f>F18*'Себестоимость'!$D$16+F17*'Допущения'!$D$74*'Себестоимость'!$D$7</f>
        <v/>
      </c>
      <c r="G31" s="21">
        <f>G18*'Себестоимость'!$D$16+G17*'Допущения'!$D$74*'Себестоимость'!$D$7</f>
        <v/>
      </c>
      <c r="H31" s="21">
        <f>H18*'Себестоимость'!$D$16+H17*'Допущения'!$D$74*'Себестоимость'!$D$7</f>
        <v/>
      </c>
      <c r="I31" s="21">
        <f>I18*'Себестоимость'!$D$16+I17*'Допущения'!$D$74*'Себестоимость'!$D$7</f>
        <v/>
      </c>
      <c r="J31" s="21">
        <f>J18*'Себестоимость'!$D$16+J17*'Допущения'!$D$74*'Себестоимость'!$D$7</f>
        <v/>
      </c>
      <c r="K31" s="21">
        <f>K18*'Себестоимость'!$D$16+K17*'Допущения'!$D$74*'Себестоимость'!$D$7</f>
        <v/>
      </c>
      <c r="L31" s="21">
        <f>L18*'Себестоимость'!$D$16+L17*'Допущения'!$D$74*'Себестоимость'!$D$7</f>
        <v/>
      </c>
      <c r="M31" s="21">
        <f>M18*'Себестоимость'!$D$16+M17*'Допущения'!$D$74*'Себестоимость'!$D$7</f>
        <v/>
      </c>
      <c r="N31" s="21">
        <f>N18*'Себестоимость'!$D$16+N17*'Допущения'!$D$74*'Себестоимость'!$D$7</f>
        <v/>
      </c>
      <c r="O31" s="21">
        <f>O18*'Себестоимость'!$D$16+O17*'Допущения'!$D$74*'Себестоимость'!$D$7</f>
        <v/>
      </c>
      <c r="P31" s="21">
        <f>P18*'Себестоимость'!$D$16+P17*'Допущения'!$D$74*'Себестоимость'!$D$7</f>
        <v/>
      </c>
      <c r="Q31" s="21">
        <f>Q18*'Себестоимость'!$D$16+Q17*'Допущения'!$D$74*'Себестоимость'!$D$7</f>
        <v/>
      </c>
      <c r="R31" s="21">
        <f>R18*'Себестоимость'!$D$16+R17*'Допущения'!$D$74*'Себестоимость'!$D$7</f>
        <v/>
      </c>
      <c r="S31" s="21">
        <f>S18*'Себестоимость'!$D$16+S17*'Допущения'!$D$74*'Себестоимость'!$D$7</f>
        <v/>
      </c>
      <c r="T31" s="21">
        <f>T18*'Себестоимость'!$D$16+T17*'Допущения'!$D$74*'Себестоимость'!$D$7</f>
        <v/>
      </c>
      <c r="U31" s="21">
        <f>U18*'Себестоимость'!$D$16+U17*'Допущения'!$D$74*'Себестоимость'!$D$7</f>
        <v/>
      </c>
      <c r="V31" s="21">
        <f>V18*'Себестоимость'!$D$16+V17*'Допущения'!$D$74*'Себестоимость'!$D$7</f>
        <v/>
      </c>
      <c r="W31" s="21">
        <f>W18*'Себестоимость'!$D$16+W17*'Допущения'!$D$74*'Себестоимость'!$D$7</f>
        <v/>
      </c>
      <c r="X31" s="21">
        <f>X18*'Себестоимость'!$D$16+X17*'Допущения'!$D$74*'Себестоимость'!$D$7</f>
        <v/>
      </c>
      <c r="Y31" s="21">
        <f>Y18*'Себестоимость'!$D$16+Y17*'Допущения'!$D$74*'Себестоимость'!$D$7</f>
        <v/>
      </c>
      <c r="Z31" s="21">
        <f>Z18*'Себестоимость'!$D$16+Z17*'Допущения'!$D$74*'Себестоимость'!$D$7</f>
        <v/>
      </c>
      <c r="AA31" s="21">
        <f>AA18*'Себестоимость'!$D$16+AA17*'Допущения'!$D$74*'Себестоимость'!$D$7</f>
        <v/>
      </c>
      <c r="AB31" s="21">
        <f>AB18*'Себестоимость'!$D$16+AB17*'Допущения'!$D$74*'Себестоимость'!$D$7</f>
        <v/>
      </c>
      <c r="AC31" s="21">
        <f>AC18*'Себестоимость'!$D$16+AC17*'Допущения'!$D$74*'Себестоимость'!$D$7</f>
        <v/>
      </c>
      <c r="AD31" s="21">
        <f>AD18*'Себестоимость'!$D$16+AD17*'Допущения'!$D$74*'Себестоимость'!$D$7</f>
        <v/>
      </c>
      <c r="AE31" s="21">
        <f>AE18*'Себестоимость'!$D$16+AE17*'Допущения'!$D$74*'Себестоимость'!$D$7</f>
        <v/>
      </c>
      <c r="AF31" s="21">
        <f>AF18*'Себестоимость'!$D$16+AF17*'Допущения'!$D$74*'Себестоимость'!$D$7</f>
        <v/>
      </c>
      <c r="AG31" s="21">
        <f>AG18*'Себестоимость'!$D$16+AG17*'Допущения'!$D$74*'Себестоимость'!$D$7</f>
        <v/>
      </c>
      <c r="AH31" s="21">
        <f>AH18*'Себестоимость'!$D$16+AH17*'Допущения'!$D$74*'Себестоимость'!$D$7</f>
        <v/>
      </c>
      <c r="AI31" s="21">
        <f>AI18*'Себестоимость'!$D$16+AI17*'Допущения'!$D$74*'Себестоимость'!$D$7</f>
        <v/>
      </c>
      <c r="AJ31" s="21">
        <f>AJ18*'Себестоимость'!$D$16+AJ17*'Допущения'!$D$74*'Себестоимость'!$D$7</f>
        <v/>
      </c>
      <c r="AK31" s="21">
        <f>AK18*'Себестоимость'!$D$16+AK17*'Допущения'!$D$74*'Себестоимость'!$D$7</f>
        <v/>
      </c>
      <c r="AL31" s="21">
        <f>AL18*'Себестоимость'!$D$16+AL17*'Допущения'!$D$74*'Себестоимость'!$D$7</f>
        <v/>
      </c>
    </row>
    <row r="32">
      <c r="A32" s="6" t="inlineStr">
        <is>
          <t>Проверка возраста</t>
        </is>
      </c>
      <c r="B32" s="44">
        <f>SUM(C32:AL32)</f>
        <v/>
      </c>
      <c r="C32" s="21">
        <f>C19*'Допущения'!$D$44*'Допущения'!$D$93</f>
        <v/>
      </c>
      <c r="D32" s="21">
        <f>D19*'Допущения'!$D$44*'Допущения'!$D$93</f>
        <v/>
      </c>
      <c r="E32" s="21">
        <f>E19*'Допущения'!$D$44*'Допущения'!$D$93</f>
        <v/>
      </c>
      <c r="F32" s="21">
        <f>F19*'Допущения'!$D$44*'Допущения'!$D$93</f>
        <v/>
      </c>
      <c r="G32" s="21">
        <f>G19*'Допущения'!$D$44*'Допущения'!$D$93</f>
        <v/>
      </c>
      <c r="H32" s="21">
        <f>H19*'Допущения'!$D$44*'Допущения'!$D$93</f>
        <v/>
      </c>
      <c r="I32" s="21">
        <f>I19*'Допущения'!$D$44*'Допущения'!$D$93</f>
        <v/>
      </c>
      <c r="J32" s="21">
        <f>J19*'Допущения'!$D$44*'Допущения'!$D$93</f>
        <v/>
      </c>
      <c r="K32" s="21">
        <f>K19*'Допущения'!$D$44*'Допущения'!$D$93</f>
        <v/>
      </c>
      <c r="L32" s="21">
        <f>L19*'Допущения'!$D$44*'Допущения'!$D$93</f>
        <v/>
      </c>
      <c r="M32" s="21">
        <f>M19*'Допущения'!$D$44*'Допущения'!$D$93</f>
        <v/>
      </c>
      <c r="N32" s="21">
        <f>N19*'Допущения'!$D$44*'Допущения'!$D$93</f>
        <v/>
      </c>
      <c r="O32" s="21">
        <f>O19*'Допущения'!$D$44*'Допущения'!$D$93</f>
        <v/>
      </c>
      <c r="P32" s="21">
        <f>P19*'Допущения'!$D$44*'Допущения'!$D$93</f>
        <v/>
      </c>
      <c r="Q32" s="21">
        <f>Q19*'Допущения'!$D$44*'Допущения'!$D$93</f>
        <v/>
      </c>
      <c r="R32" s="21">
        <f>R19*'Допущения'!$D$44*'Допущения'!$D$93</f>
        <v/>
      </c>
      <c r="S32" s="21">
        <f>S19*'Допущения'!$D$44*'Допущения'!$D$93</f>
        <v/>
      </c>
      <c r="T32" s="21">
        <f>T19*'Допущения'!$D$44*'Допущения'!$D$93</f>
        <v/>
      </c>
      <c r="U32" s="21">
        <f>U19*'Допущения'!$D$44*'Допущения'!$D$93</f>
        <v/>
      </c>
      <c r="V32" s="21">
        <f>V19*'Допущения'!$D$44*'Допущения'!$D$93</f>
        <v/>
      </c>
      <c r="W32" s="21">
        <f>W19*'Допущения'!$D$44*'Допущения'!$D$93</f>
        <v/>
      </c>
      <c r="X32" s="21">
        <f>X19*'Допущения'!$D$44*'Допущения'!$D$93</f>
        <v/>
      </c>
      <c r="Y32" s="21">
        <f>Y19*'Допущения'!$D$44*'Допущения'!$D$93</f>
        <v/>
      </c>
      <c r="Z32" s="21">
        <f>Z19*'Допущения'!$D$44*'Допущения'!$D$93</f>
        <v/>
      </c>
      <c r="AA32" s="21">
        <f>AA19*'Допущения'!$D$44*'Допущения'!$D$93</f>
        <v/>
      </c>
      <c r="AB32" s="21">
        <f>AB19*'Допущения'!$D$44*'Допущения'!$D$93</f>
        <v/>
      </c>
      <c r="AC32" s="21">
        <f>AC19*'Допущения'!$D$44*'Допущения'!$D$93</f>
        <v/>
      </c>
      <c r="AD32" s="21">
        <f>AD19*'Допущения'!$D$44*'Допущения'!$D$93</f>
        <v/>
      </c>
      <c r="AE32" s="21">
        <f>AE19*'Допущения'!$D$44*'Допущения'!$D$93</f>
        <v/>
      </c>
      <c r="AF32" s="21">
        <f>AF19*'Допущения'!$D$44*'Допущения'!$D$93</f>
        <v/>
      </c>
      <c r="AG32" s="21">
        <f>AG19*'Допущения'!$D$44*'Допущения'!$D$93</f>
        <v/>
      </c>
      <c r="AH32" s="21">
        <f>AH19*'Допущения'!$D$44*'Допущения'!$D$93</f>
        <v/>
      </c>
      <c r="AI32" s="21">
        <f>AI19*'Допущения'!$D$44*'Допущения'!$D$93</f>
        <v/>
      </c>
      <c r="AJ32" s="21">
        <f>AJ19*'Допущения'!$D$44*'Допущения'!$D$93</f>
        <v/>
      </c>
      <c r="AK32" s="21">
        <f>AK19*'Допущения'!$D$44*'Допущения'!$D$93</f>
        <v/>
      </c>
      <c r="AL32" s="21">
        <f>AL19*'Допущения'!$D$44*'Допущения'!$D$93</f>
        <v/>
      </c>
    </row>
    <row r="33">
      <c r="A33" s="6" t="inlineStr">
        <is>
          <t>Инфраструктура (на пользователя)</t>
        </is>
      </c>
      <c r="B33" s="44">
        <f>SUM(C33:AL33)</f>
        <v/>
      </c>
      <c r="C33" s="21">
        <f>C22*'Допущения'!$D$86</f>
        <v/>
      </c>
      <c r="D33" s="21">
        <f>D22*'Допущения'!$D$86</f>
        <v/>
      </c>
      <c r="E33" s="21">
        <f>E22*'Допущения'!$D$86</f>
        <v/>
      </c>
      <c r="F33" s="21">
        <f>F22*'Допущения'!$D$86</f>
        <v/>
      </c>
      <c r="G33" s="21">
        <f>G22*'Допущения'!$D$86</f>
        <v/>
      </c>
      <c r="H33" s="21">
        <f>H22*'Допущения'!$D$86</f>
        <v/>
      </c>
      <c r="I33" s="21">
        <f>I22*'Допущения'!$D$86</f>
        <v/>
      </c>
      <c r="J33" s="21">
        <f>J22*'Допущения'!$D$86</f>
        <v/>
      </c>
      <c r="K33" s="21">
        <f>K22*'Допущения'!$D$86</f>
        <v/>
      </c>
      <c r="L33" s="21">
        <f>L22*'Допущения'!$D$86</f>
        <v/>
      </c>
      <c r="M33" s="21">
        <f>M22*'Допущения'!$D$86</f>
        <v/>
      </c>
      <c r="N33" s="21">
        <f>N22*'Допущения'!$D$86</f>
        <v/>
      </c>
      <c r="O33" s="21">
        <f>O22*'Допущения'!$D$86</f>
        <v/>
      </c>
      <c r="P33" s="21">
        <f>P22*'Допущения'!$D$86</f>
        <v/>
      </c>
      <c r="Q33" s="21">
        <f>Q22*'Допущения'!$D$86</f>
        <v/>
      </c>
      <c r="R33" s="21">
        <f>R22*'Допущения'!$D$86</f>
        <v/>
      </c>
      <c r="S33" s="21">
        <f>S22*'Допущения'!$D$86</f>
        <v/>
      </c>
      <c r="T33" s="21">
        <f>T22*'Допущения'!$D$86</f>
        <v/>
      </c>
      <c r="U33" s="21">
        <f>U22*'Допущения'!$D$86</f>
        <v/>
      </c>
      <c r="V33" s="21">
        <f>V22*'Допущения'!$D$86</f>
        <v/>
      </c>
      <c r="W33" s="21">
        <f>W22*'Допущения'!$D$86</f>
        <v/>
      </c>
      <c r="X33" s="21">
        <f>X22*'Допущения'!$D$86</f>
        <v/>
      </c>
      <c r="Y33" s="21">
        <f>Y22*'Допущения'!$D$86</f>
        <v/>
      </c>
      <c r="Z33" s="21">
        <f>Z22*'Допущения'!$D$86</f>
        <v/>
      </c>
      <c r="AA33" s="21">
        <f>AA22*'Допущения'!$D$86</f>
        <v/>
      </c>
      <c r="AB33" s="21">
        <f>AB22*'Допущения'!$D$86</f>
        <v/>
      </c>
      <c r="AC33" s="21">
        <f>AC22*'Допущения'!$D$86</f>
        <v/>
      </c>
      <c r="AD33" s="21">
        <f>AD22*'Допущения'!$D$86</f>
        <v/>
      </c>
      <c r="AE33" s="21">
        <f>AE22*'Допущения'!$D$86</f>
        <v/>
      </c>
      <c r="AF33" s="21">
        <f>AF22*'Допущения'!$D$86</f>
        <v/>
      </c>
      <c r="AG33" s="21">
        <f>AG22*'Допущения'!$D$86</f>
        <v/>
      </c>
      <c r="AH33" s="21">
        <f>AH22*'Допущения'!$D$86</f>
        <v/>
      </c>
      <c r="AI33" s="21">
        <f>AI22*'Допущения'!$D$86</f>
        <v/>
      </c>
      <c r="AJ33" s="21">
        <f>AJ22*'Допущения'!$D$86</f>
        <v/>
      </c>
      <c r="AK33" s="21">
        <f>AK22*'Допущения'!$D$86</f>
        <v/>
      </c>
      <c r="AL33" s="21">
        <f>AL22*'Допущения'!$D$86</f>
        <v/>
      </c>
    </row>
    <row r="34">
      <c r="A34" s="6" t="inlineStr">
        <is>
          <t>Итого переменные</t>
        </is>
      </c>
      <c r="B34" s="44">
        <f>SUM(C34:AL34)</f>
        <v/>
      </c>
      <c r="C34" s="21">
        <f>SUM(C30:C33)</f>
        <v/>
      </c>
      <c r="D34" s="21">
        <f>SUM(D30:D33)</f>
        <v/>
      </c>
      <c r="E34" s="21">
        <f>SUM(E30:E33)</f>
        <v/>
      </c>
      <c r="F34" s="21">
        <f>SUM(F30:F33)</f>
        <v/>
      </c>
      <c r="G34" s="21">
        <f>SUM(G30:G33)</f>
        <v/>
      </c>
      <c r="H34" s="21">
        <f>SUM(H30:H33)</f>
        <v/>
      </c>
      <c r="I34" s="21">
        <f>SUM(I30:I33)</f>
        <v/>
      </c>
      <c r="J34" s="21">
        <f>SUM(J30:J33)</f>
        <v/>
      </c>
      <c r="K34" s="21">
        <f>SUM(K30:K33)</f>
        <v/>
      </c>
      <c r="L34" s="21">
        <f>SUM(L30:L33)</f>
        <v/>
      </c>
      <c r="M34" s="21">
        <f>SUM(M30:M33)</f>
        <v/>
      </c>
      <c r="N34" s="21">
        <f>SUM(N30:N33)</f>
        <v/>
      </c>
      <c r="O34" s="21">
        <f>SUM(O30:O33)</f>
        <v/>
      </c>
      <c r="P34" s="21">
        <f>SUM(P30:P33)</f>
        <v/>
      </c>
      <c r="Q34" s="21">
        <f>SUM(Q30:Q33)</f>
        <v/>
      </c>
      <c r="R34" s="21">
        <f>SUM(R30:R33)</f>
        <v/>
      </c>
      <c r="S34" s="21">
        <f>SUM(S30:S33)</f>
        <v/>
      </c>
      <c r="T34" s="21">
        <f>SUM(T30:T33)</f>
        <v/>
      </c>
      <c r="U34" s="21">
        <f>SUM(U30:U33)</f>
        <v/>
      </c>
      <c r="V34" s="21">
        <f>SUM(V30:V33)</f>
        <v/>
      </c>
      <c r="W34" s="21">
        <f>SUM(W30:W33)</f>
        <v/>
      </c>
      <c r="X34" s="21">
        <f>SUM(X30:X33)</f>
        <v/>
      </c>
      <c r="Y34" s="21">
        <f>SUM(Y30:Y33)</f>
        <v/>
      </c>
      <c r="Z34" s="21">
        <f>SUM(Z30:Z33)</f>
        <v/>
      </c>
      <c r="AA34" s="21">
        <f>SUM(AA30:AA33)</f>
        <v/>
      </c>
      <c r="AB34" s="21">
        <f>SUM(AB30:AB33)</f>
        <v/>
      </c>
      <c r="AC34" s="21">
        <f>SUM(AC30:AC33)</f>
        <v/>
      </c>
      <c r="AD34" s="21">
        <f>SUM(AD30:AD33)</f>
        <v/>
      </c>
      <c r="AE34" s="21">
        <f>SUM(AE30:AE33)</f>
        <v/>
      </c>
      <c r="AF34" s="21">
        <f>SUM(AF30:AF33)</f>
        <v/>
      </c>
      <c r="AG34" s="21">
        <f>SUM(AG30:AG33)</f>
        <v/>
      </c>
      <c r="AH34" s="21">
        <f>SUM(AH30:AH33)</f>
        <v/>
      </c>
      <c r="AI34" s="21">
        <f>SUM(AI30:AI33)</f>
        <v/>
      </c>
      <c r="AJ34" s="21">
        <f>SUM(AJ30:AJ33)</f>
        <v/>
      </c>
      <c r="AK34" s="21">
        <f>SUM(AK30:AK33)</f>
        <v/>
      </c>
      <c r="AL34" s="21">
        <f>SUM(AL30:AL33)</f>
        <v/>
      </c>
    </row>
    <row r="35">
      <c r="A35" s="6" t="inlineStr">
        <is>
          <t>Валовая прибыль</t>
        </is>
      </c>
      <c r="B35" s="44">
        <f>SUM(C35:AL35)</f>
        <v/>
      </c>
      <c r="C35" s="21">
        <f>C28-C34</f>
        <v/>
      </c>
      <c r="D35" s="21">
        <f>D28-D34</f>
        <v/>
      </c>
      <c r="E35" s="21">
        <f>E28-E34</f>
        <v/>
      </c>
      <c r="F35" s="21">
        <f>F28-F34</f>
        <v/>
      </c>
      <c r="G35" s="21">
        <f>G28-G34</f>
        <v/>
      </c>
      <c r="H35" s="21">
        <f>H28-H34</f>
        <v/>
      </c>
      <c r="I35" s="21">
        <f>I28-I34</f>
        <v/>
      </c>
      <c r="J35" s="21">
        <f>J28-J34</f>
        <v/>
      </c>
      <c r="K35" s="21">
        <f>K28-K34</f>
        <v/>
      </c>
      <c r="L35" s="21">
        <f>L28-L34</f>
        <v/>
      </c>
      <c r="M35" s="21">
        <f>M28-M34</f>
        <v/>
      </c>
      <c r="N35" s="21">
        <f>N28-N34</f>
        <v/>
      </c>
      <c r="O35" s="21">
        <f>O28-O34</f>
        <v/>
      </c>
      <c r="P35" s="21">
        <f>P28-P34</f>
        <v/>
      </c>
      <c r="Q35" s="21">
        <f>Q28-Q34</f>
        <v/>
      </c>
      <c r="R35" s="21">
        <f>R28-R34</f>
        <v/>
      </c>
      <c r="S35" s="21">
        <f>S28-S34</f>
        <v/>
      </c>
      <c r="T35" s="21">
        <f>T28-T34</f>
        <v/>
      </c>
      <c r="U35" s="21">
        <f>U28-U34</f>
        <v/>
      </c>
      <c r="V35" s="21">
        <f>V28-V34</f>
        <v/>
      </c>
      <c r="W35" s="21">
        <f>W28-W34</f>
        <v/>
      </c>
      <c r="X35" s="21">
        <f>X28-X34</f>
        <v/>
      </c>
      <c r="Y35" s="21">
        <f>Y28-Y34</f>
        <v/>
      </c>
      <c r="Z35" s="21">
        <f>Z28-Z34</f>
        <v/>
      </c>
      <c r="AA35" s="21">
        <f>AA28-AA34</f>
        <v/>
      </c>
      <c r="AB35" s="21">
        <f>AB28-AB34</f>
        <v/>
      </c>
      <c r="AC35" s="21">
        <f>AC28-AC34</f>
        <v/>
      </c>
      <c r="AD35" s="21">
        <f>AD28-AD34</f>
        <v/>
      </c>
      <c r="AE35" s="21">
        <f>AE28-AE34</f>
        <v/>
      </c>
      <c r="AF35" s="21">
        <f>AF28-AF34</f>
        <v/>
      </c>
      <c r="AG35" s="21">
        <f>AG28-AG34</f>
        <v/>
      </c>
      <c r="AH35" s="21">
        <f>AH28-AH34</f>
        <v/>
      </c>
      <c r="AI35" s="21">
        <f>AI28-AI34</f>
        <v/>
      </c>
      <c r="AJ35" s="21">
        <f>AJ28-AJ34</f>
        <v/>
      </c>
      <c r="AK35" s="21">
        <f>AK28-AK34</f>
        <v/>
      </c>
      <c r="AL35" s="21">
        <f>AL28-AL34</f>
        <v/>
      </c>
    </row>
    <row r="36">
      <c r="A36" s="6" t="inlineStr">
        <is>
          <t>Валовая маржа</t>
        </is>
      </c>
      <c r="B36" s="49">
        <f>IFERROR(B35/B28,0)</f>
        <v/>
      </c>
      <c r="C36" s="16">
        <f>IFERROR(C35/C28,0)</f>
        <v/>
      </c>
      <c r="D36" s="16">
        <f>IFERROR(D35/D28,0)</f>
        <v/>
      </c>
      <c r="E36" s="16">
        <f>IFERROR(E35/E28,0)</f>
        <v/>
      </c>
      <c r="F36" s="16">
        <f>IFERROR(F35/F28,0)</f>
        <v/>
      </c>
      <c r="G36" s="16">
        <f>IFERROR(G35/G28,0)</f>
        <v/>
      </c>
      <c r="H36" s="16">
        <f>IFERROR(H35/H28,0)</f>
        <v/>
      </c>
      <c r="I36" s="16">
        <f>IFERROR(I35/I28,0)</f>
        <v/>
      </c>
      <c r="J36" s="16">
        <f>IFERROR(J35/J28,0)</f>
        <v/>
      </c>
      <c r="K36" s="16">
        <f>IFERROR(K35/K28,0)</f>
        <v/>
      </c>
      <c r="L36" s="16">
        <f>IFERROR(L35/L28,0)</f>
        <v/>
      </c>
      <c r="M36" s="16">
        <f>IFERROR(M35/M28,0)</f>
        <v/>
      </c>
      <c r="N36" s="16">
        <f>IFERROR(N35/N28,0)</f>
        <v/>
      </c>
      <c r="O36" s="16">
        <f>IFERROR(O35/O28,0)</f>
        <v/>
      </c>
      <c r="P36" s="16">
        <f>IFERROR(P35/P28,0)</f>
        <v/>
      </c>
      <c r="Q36" s="16">
        <f>IFERROR(Q35/Q28,0)</f>
        <v/>
      </c>
      <c r="R36" s="16">
        <f>IFERROR(R35/R28,0)</f>
        <v/>
      </c>
      <c r="S36" s="16">
        <f>IFERROR(S35/S28,0)</f>
        <v/>
      </c>
      <c r="T36" s="16">
        <f>IFERROR(T35/T28,0)</f>
        <v/>
      </c>
      <c r="U36" s="16">
        <f>IFERROR(U35/U28,0)</f>
        <v/>
      </c>
      <c r="V36" s="16">
        <f>IFERROR(V35/V28,0)</f>
        <v/>
      </c>
      <c r="W36" s="16">
        <f>IFERROR(W35/W28,0)</f>
        <v/>
      </c>
      <c r="X36" s="16">
        <f>IFERROR(X35/X28,0)</f>
        <v/>
      </c>
      <c r="Y36" s="16">
        <f>IFERROR(Y35/Y28,0)</f>
        <v/>
      </c>
      <c r="Z36" s="16">
        <f>IFERROR(Z35/Z28,0)</f>
        <v/>
      </c>
      <c r="AA36" s="16">
        <f>IFERROR(AA35/AA28,0)</f>
        <v/>
      </c>
      <c r="AB36" s="16">
        <f>IFERROR(AB35/AB28,0)</f>
        <v/>
      </c>
      <c r="AC36" s="16">
        <f>IFERROR(AC35/AC28,0)</f>
        <v/>
      </c>
      <c r="AD36" s="16">
        <f>IFERROR(AD35/AD28,0)</f>
        <v/>
      </c>
      <c r="AE36" s="16">
        <f>IFERROR(AE35/AE28,0)</f>
        <v/>
      </c>
      <c r="AF36" s="16">
        <f>IFERROR(AF35/AF28,0)</f>
        <v/>
      </c>
      <c r="AG36" s="16">
        <f>IFERROR(AG35/AG28,0)</f>
        <v/>
      </c>
      <c r="AH36" s="16">
        <f>IFERROR(AH35/AH28,0)</f>
        <v/>
      </c>
      <c r="AI36" s="16">
        <f>IFERROR(AI35/AI28,0)</f>
        <v/>
      </c>
      <c r="AJ36" s="16">
        <f>IFERROR(AJ35/AJ28,0)</f>
        <v/>
      </c>
      <c r="AK36" s="16">
        <f>IFERROR(AK35/AK28,0)</f>
        <v/>
      </c>
      <c r="AL36" s="16">
        <f>IFERROR(AL35/AL28,0)</f>
        <v/>
      </c>
    </row>
    <row r="37">
      <c r="A37" s="4" t="inlineStr">
        <is>
          <t>ПОСТОЯННЫЕ ЗАТРАТЫ И МАРКЕТИНГ, $</t>
        </is>
      </c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</row>
    <row r="38">
      <c r="A38" s="6" t="inlineStr">
        <is>
          <t>Инфраструктура (база)</t>
        </is>
      </c>
      <c r="B38" s="44">
        <f>SUM(C38:AL38)</f>
        <v/>
      </c>
      <c r="C38" s="21">
        <f>'Допущения'!$D$85</f>
        <v/>
      </c>
      <c r="D38" s="21">
        <f>'Допущения'!$D$85</f>
        <v/>
      </c>
      <c r="E38" s="21">
        <f>'Допущения'!$D$85</f>
        <v/>
      </c>
      <c r="F38" s="21">
        <f>'Допущения'!$D$85</f>
        <v/>
      </c>
      <c r="G38" s="21">
        <f>'Допущения'!$D$85</f>
        <v/>
      </c>
      <c r="H38" s="21">
        <f>'Допущения'!$D$85</f>
        <v/>
      </c>
      <c r="I38" s="21">
        <f>'Допущения'!$D$85</f>
        <v/>
      </c>
      <c r="J38" s="21">
        <f>'Допущения'!$D$85</f>
        <v/>
      </c>
      <c r="K38" s="21">
        <f>'Допущения'!$D$85</f>
        <v/>
      </c>
      <c r="L38" s="21">
        <f>'Допущения'!$D$85</f>
        <v/>
      </c>
      <c r="M38" s="21">
        <f>'Допущения'!$D$85</f>
        <v/>
      </c>
      <c r="N38" s="21">
        <f>'Допущения'!$D$85</f>
        <v/>
      </c>
      <c r="O38" s="21">
        <f>'Допущения'!$D$85</f>
        <v/>
      </c>
      <c r="P38" s="21">
        <f>'Допущения'!$D$85</f>
        <v/>
      </c>
      <c r="Q38" s="21">
        <f>'Допущения'!$D$85</f>
        <v/>
      </c>
      <c r="R38" s="21">
        <f>'Допущения'!$D$85</f>
        <v/>
      </c>
      <c r="S38" s="21">
        <f>'Допущения'!$D$85</f>
        <v/>
      </c>
      <c r="T38" s="21">
        <f>'Допущения'!$D$85</f>
        <v/>
      </c>
      <c r="U38" s="21">
        <f>'Допущения'!$D$85</f>
        <v/>
      </c>
      <c r="V38" s="21">
        <f>'Допущения'!$D$85</f>
        <v/>
      </c>
      <c r="W38" s="21">
        <f>'Допущения'!$D$85</f>
        <v/>
      </c>
      <c r="X38" s="21">
        <f>'Допущения'!$D$85</f>
        <v/>
      </c>
      <c r="Y38" s="21">
        <f>'Допущения'!$D$85</f>
        <v/>
      </c>
      <c r="Z38" s="21">
        <f>'Допущения'!$D$85</f>
        <v/>
      </c>
      <c r="AA38" s="21">
        <f>'Допущения'!$D$85</f>
        <v/>
      </c>
      <c r="AB38" s="21">
        <f>'Допущения'!$D$85</f>
        <v/>
      </c>
      <c r="AC38" s="21">
        <f>'Допущения'!$D$85</f>
        <v/>
      </c>
      <c r="AD38" s="21">
        <f>'Допущения'!$D$85</f>
        <v/>
      </c>
      <c r="AE38" s="21">
        <f>'Допущения'!$D$85</f>
        <v/>
      </c>
      <c r="AF38" s="21">
        <f>'Допущения'!$D$85</f>
        <v/>
      </c>
      <c r="AG38" s="21">
        <f>'Допущения'!$D$85</f>
        <v/>
      </c>
      <c r="AH38" s="21">
        <f>'Допущения'!$D$85</f>
        <v/>
      </c>
      <c r="AI38" s="21">
        <f>'Допущения'!$D$85</f>
        <v/>
      </c>
      <c r="AJ38" s="21">
        <f>'Допущения'!$D$85</f>
        <v/>
      </c>
      <c r="AK38" s="21">
        <f>'Допущения'!$D$85</f>
        <v/>
      </c>
      <c r="AL38" s="21">
        <f>'Допущения'!$D$85</f>
        <v/>
      </c>
    </row>
    <row r="39">
      <c r="A39" s="6" t="inlineStr">
        <is>
          <t>SaaS-инструменты</t>
        </is>
      </c>
      <c r="B39" s="44">
        <f>SUM(C39:AL39)</f>
        <v/>
      </c>
      <c r="C39" s="21">
        <f>'Допущения'!$D$87</f>
        <v/>
      </c>
      <c r="D39" s="21">
        <f>'Допущения'!$D$87</f>
        <v/>
      </c>
      <c r="E39" s="21">
        <f>'Допущения'!$D$87</f>
        <v/>
      </c>
      <c r="F39" s="21">
        <f>'Допущения'!$D$87</f>
        <v/>
      </c>
      <c r="G39" s="21">
        <f>'Допущения'!$D$87</f>
        <v/>
      </c>
      <c r="H39" s="21">
        <f>'Допущения'!$D$87</f>
        <v/>
      </c>
      <c r="I39" s="21">
        <f>'Допущения'!$D$87</f>
        <v/>
      </c>
      <c r="J39" s="21">
        <f>'Допущения'!$D$87</f>
        <v/>
      </c>
      <c r="K39" s="21">
        <f>'Допущения'!$D$87</f>
        <v/>
      </c>
      <c r="L39" s="21">
        <f>'Допущения'!$D$87</f>
        <v/>
      </c>
      <c r="M39" s="21">
        <f>'Допущения'!$D$87</f>
        <v/>
      </c>
      <c r="N39" s="21">
        <f>'Допущения'!$D$87</f>
        <v/>
      </c>
      <c r="O39" s="21">
        <f>'Допущения'!$D$87</f>
        <v/>
      </c>
      <c r="P39" s="21">
        <f>'Допущения'!$D$87</f>
        <v/>
      </c>
      <c r="Q39" s="21">
        <f>'Допущения'!$D$87</f>
        <v/>
      </c>
      <c r="R39" s="21">
        <f>'Допущения'!$D$87</f>
        <v/>
      </c>
      <c r="S39" s="21">
        <f>'Допущения'!$D$87</f>
        <v/>
      </c>
      <c r="T39" s="21">
        <f>'Допущения'!$D$87</f>
        <v/>
      </c>
      <c r="U39" s="21">
        <f>'Допущения'!$D$87</f>
        <v/>
      </c>
      <c r="V39" s="21">
        <f>'Допущения'!$D$87</f>
        <v/>
      </c>
      <c r="W39" s="21">
        <f>'Допущения'!$D$87</f>
        <v/>
      </c>
      <c r="X39" s="21">
        <f>'Допущения'!$D$87</f>
        <v/>
      </c>
      <c r="Y39" s="21">
        <f>'Допущения'!$D$87</f>
        <v/>
      </c>
      <c r="Z39" s="21">
        <f>'Допущения'!$D$87</f>
        <v/>
      </c>
      <c r="AA39" s="21">
        <f>'Допущения'!$D$87</f>
        <v/>
      </c>
      <c r="AB39" s="21">
        <f>'Допущения'!$D$87</f>
        <v/>
      </c>
      <c r="AC39" s="21">
        <f>'Допущения'!$D$87</f>
        <v/>
      </c>
      <c r="AD39" s="21">
        <f>'Допущения'!$D$87</f>
        <v/>
      </c>
      <c r="AE39" s="21">
        <f>'Допущения'!$D$87</f>
        <v/>
      </c>
      <c r="AF39" s="21">
        <f>'Допущения'!$D$87</f>
        <v/>
      </c>
      <c r="AG39" s="21">
        <f>'Допущения'!$D$87</f>
        <v/>
      </c>
      <c r="AH39" s="21">
        <f>'Допущения'!$D$87</f>
        <v/>
      </c>
      <c r="AI39" s="21">
        <f>'Допущения'!$D$87</f>
        <v/>
      </c>
      <c r="AJ39" s="21">
        <f>'Допущения'!$D$87</f>
        <v/>
      </c>
      <c r="AK39" s="21">
        <f>'Допущения'!$D$87</f>
        <v/>
      </c>
      <c r="AL39" s="21">
        <f>'Допущения'!$D$87</f>
        <v/>
      </c>
    </row>
    <row r="40">
      <c r="A40" s="6" t="inlineStr">
        <is>
          <t>Бухгалтерия</t>
        </is>
      </c>
      <c r="B40" s="44">
        <f>SUM(C40:AL40)</f>
        <v/>
      </c>
      <c r="C40" s="21">
        <f>IF(C6&gt;='Допущения'!$D$10,'Допущения'!$D$88,0)</f>
        <v/>
      </c>
      <c r="D40" s="21">
        <f>IF(D6&gt;='Допущения'!$D$10,'Допущения'!$D$88,0)</f>
        <v/>
      </c>
      <c r="E40" s="21">
        <f>IF(E6&gt;='Допущения'!$D$10,'Допущения'!$D$88,0)</f>
        <v/>
      </c>
      <c r="F40" s="21">
        <f>IF(F6&gt;='Допущения'!$D$10,'Допущения'!$D$88,0)</f>
        <v/>
      </c>
      <c r="G40" s="21">
        <f>IF(G6&gt;='Допущения'!$D$10,'Допущения'!$D$88,0)</f>
        <v/>
      </c>
      <c r="H40" s="21">
        <f>IF(H6&gt;='Допущения'!$D$10,'Допущения'!$D$88,0)</f>
        <v/>
      </c>
      <c r="I40" s="21">
        <f>IF(I6&gt;='Допущения'!$D$10,'Допущения'!$D$88,0)</f>
        <v/>
      </c>
      <c r="J40" s="21">
        <f>IF(J6&gt;='Допущения'!$D$10,'Допущения'!$D$88,0)</f>
        <v/>
      </c>
      <c r="K40" s="21">
        <f>IF(K6&gt;='Допущения'!$D$10,'Допущения'!$D$88,0)</f>
        <v/>
      </c>
      <c r="L40" s="21">
        <f>IF(L6&gt;='Допущения'!$D$10,'Допущения'!$D$88,0)</f>
        <v/>
      </c>
      <c r="M40" s="21">
        <f>IF(M6&gt;='Допущения'!$D$10,'Допущения'!$D$88,0)</f>
        <v/>
      </c>
      <c r="N40" s="21">
        <f>IF(N6&gt;='Допущения'!$D$10,'Допущения'!$D$88,0)</f>
        <v/>
      </c>
      <c r="O40" s="21">
        <f>IF(O6&gt;='Допущения'!$D$10,'Допущения'!$D$88,0)</f>
        <v/>
      </c>
      <c r="P40" s="21">
        <f>IF(P6&gt;='Допущения'!$D$10,'Допущения'!$D$88,0)</f>
        <v/>
      </c>
      <c r="Q40" s="21">
        <f>IF(Q6&gt;='Допущения'!$D$10,'Допущения'!$D$88,0)</f>
        <v/>
      </c>
      <c r="R40" s="21">
        <f>IF(R6&gt;='Допущения'!$D$10,'Допущения'!$D$88,0)</f>
        <v/>
      </c>
      <c r="S40" s="21">
        <f>IF(S6&gt;='Допущения'!$D$10,'Допущения'!$D$88,0)</f>
        <v/>
      </c>
      <c r="T40" s="21">
        <f>IF(T6&gt;='Допущения'!$D$10,'Допущения'!$D$88,0)</f>
        <v/>
      </c>
      <c r="U40" s="21">
        <f>IF(U6&gt;='Допущения'!$D$10,'Допущения'!$D$88,0)</f>
        <v/>
      </c>
      <c r="V40" s="21">
        <f>IF(V6&gt;='Допущения'!$D$10,'Допущения'!$D$88,0)</f>
        <v/>
      </c>
      <c r="W40" s="21">
        <f>IF(W6&gt;='Допущения'!$D$10,'Допущения'!$D$88,0)</f>
        <v/>
      </c>
      <c r="X40" s="21">
        <f>IF(X6&gt;='Допущения'!$D$10,'Допущения'!$D$88,0)</f>
        <v/>
      </c>
      <c r="Y40" s="21">
        <f>IF(Y6&gt;='Допущения'!$D$10,'Допущения'!$D$88,0)</f>
        <v/>
      </c>
      <c r="Z40" s="21">
        <f>IF(Z6&gt;='Допущения'!$D$10,'Допущения'!$D$88,0)</f>
        <v/>
      </c>
      <c r="AA40" s="21">
        <f>IF(AA6&gt;='Допущения'!$D$10,'Допущения'!$D$88,0)</f>
        <v/>
      </c>
      <c r="AB40" s="21">
        <f>IF(AB6&gt;='Допущения'!$D$10,'Допущения'!$D$88,0)</f>
        <v/>
      </c>
      <c r="AC40" s="21">
        <f>IF(AC6&gt;='Допущения'!$D$10,'Допущения'!$D$88,0)</f>
        <v/>
      </c>
      <c r="AD40" s="21">
        <f>IF(AD6&gt;='Допущения'!$D$10,'Допущения'!$D$88,0)</f>
        <v/>
      </c>
      <c r="AE40" s="21">
        <f>IF(AE6&gt;='Допущения'!$D$10,'Допущения'!$D$88,0)</f>
        <v/>
      </c>
      <c r="AF40" s="21">
        <f>IF(AF6&gt;='Допущения'!$D$10,'Допущения'!$D$88,0)</f>
        <v/>
      </c>
      <c r="AG40" s="21">
        <f>IF(AG6&gt;='Допущения'!$D$10,'Допущения'!$D$88,0)</f>
        <v/>
      </c>
      <c r="AH40" s="21">
        <f>IF(AH6&gt;='Допущения'!$D$10,'Допущения'!$D$88,0)</f>
        <v/>
      </c>
      <c r="AI40" s="21">
        <f>IF(AI6&gt;='Допущения'!$D$10,'Допущения'!$D$88,0)</f>
        <v/>
      </c>
      <c r="AJ40" s="21">
        <f>IF(AJ6&gt;='Допущения'!$D$10,'Допущения'!$D$88,0)</f>
        <v/>
      </c>
      <c r="AK40" s="21">
        <f>IF(AK6&gt;='Допущения'!$D$10,'Допущения'!$D$88,0)</f>
        <v/>
      </c>
      <c r="AL40" s="21">
        <f>IF(AL6&gt;='Допущения'!$D$10,'Допущения'!$D$88,0)</f>
        <v/>
      </c>
    </row>
    <row r="41">
      <c r="A41" s="6" t="inlineStr">
        <is>
          <t>Юр. сопровождение</t>
        </is>
      </c>
      <c r="B41" s="44">
        <f>SUM(C41:AL41)</f>
        <v/>
      </c>
      <c r="C41" s="21">
        <f>IF(C9=1,'Допущения'!$D$89,0)</f>
        <v/>
      </c>
      <c r="D41" s="21">
        <f>IF(D9=1,'Допущения'!$D$89,0)</f>
        <v/>
      </c>
      <c r="E41" s="21">
        <f>IF(E9=1,'Допущения'!$D$89,0)</f>
        <v/>
      </c>
      <c r="F41" s="21">
        <f>IF(F9=1,'Допущения'!$D$89,0)</f>
        <v/>
      </c>
      <c r="G41" s="21">
        <f>IF(G9=1,'Допущения'!$D$89,0)</f>
        <v/>
      </c>
      <c r="H41" s="21">
        <f>IF(H9=1,'Допущения'!$D$89,0)</f>
        <v/>
      </c>
      <c r="I41" s="21">
        <f>IF(I9=1,'Допущения'!$D$89,0)</f>
        <v/>
      </c>
      <c r="J41" s="21">
        <f>IF(J9=1,'Допущения'!$D$89,0)</f>
        <v/>
      </c>
      <c r="K41" s="21">
        <f>IF(K9=1,'Допущения'!$D$89,0)</f>
        <v/>
      </c>
      <c r="L41" s="21">
        <f>IF(L9=1,'Допущения'!$D$89,0)</f>
        <v/>
      </c>
      <c r="M41" s="21">
        <f>IF(M9=1,'Допущения'!$D$89,0)</f>
        <v/>
      </c>
      <c r="N41" s="21">
        <f>IF(N9=1,'Допущения'!$D$89,0)</f>
        <v/>
      </c>
      <c r="O41" s="21">
        <f>IF(O9=1,'Допущения'!$D$89,0)</f>
        <v/>
      </c>
      <c r="P41" s="21">
        <f>IF(P9=1,'Допущения'!$D$89,0)</f>
        <v/>
      </c>
      <c r="Q41" s="21">
        <f>IF(Q9=1,'Допущения'!$D$89,0)</f>
        <v/>
      </c>
      <c r="R41" s="21">
        <f>IF(R9=1,'Допущения'!$D$89,0)</f>
        <v/>
      </c>
      <c r="S41" s="21">
        <f>IF(S9=1,'Допущения'!$D$89,0)</f>
        <v/>
      </c>
      <c r="T41" s="21">
        <f>IF(T9=1,'Допущения'!$D$89,0)</f>
        <v/>
      </c>
      <c r="U41" s="21">
        <f>IF(U9=1,'Допущения'!$D$89,0)</f>
        <v/>
      </c>
      <c r="V41" s="21">
        <f>IF(V9=1,'Допущения'!$D$89,0)</f>
        <v/>
      </c>
      <c r="W41" s="21">
        <f>IF(W9=1,'Допущения'!$D$89,0)</f>
        <v/>
      </c>
      <c r="X41" s="21">
        <f>IF(X9=1,'Допущения'!$D$89,0)</f>
        <v/>
      </c>
      <c r="Y41" s="21">
        <f>IF(Y9=1,'Допущения'!$D$89,0)</f>
        <v/>
      </c>
      <c r="Z41" s="21">
        <f>IF(Z9=1,'Допущения'!$D$89,0)</f>
        <v/>
      </c>
      <c r="AA41" s="21">
        <f>IF(AA9=1,'Допущения'!$D$89,0)</f>
        <v/>
      </c>
      <c r="AB41" s="21">
        <f>IF(AB9=1,'Допущения'!$D$89,0)</f>
        <v/>
      </c>
      <c r="AC41" s="21">
        <f>IF(AC9=1,'Допущения'!$D$89,0)</f>
        <v/>
      </c>
      <c r="AD41" s="21">
        <f>IF(AD9=1,'Допущения'!$D$89,0)</f>
        <v/>
      </c>
      <c r="AE41" s="21">
        <f>IF(AE9=1,'Допущения'!$D$89,0)</f>
        <v/>
      </c>
      <c r="AF41" s="21">
        <f>IF(AF9=1,'Допущения'!$D$89,0)</f>
        <v/>
      </c>
      <c r="AG41" s="21">
        <f>IF(AG9=1,'Допущения'!$D$89,0)</f>
        <v/>
      </c>
      <c r="AH41" s="21">
        <f>IF(AH9=1,'Допущения'!$D$89,0)</f>
        <v/>
      </c>
      <c r="AI41" s="21">
        <f>IF(AI9=1,'Допущения'!$D$89,0)</f>
        <v/>
      </c>
      <c r="AJ41" s="21">
        <f>IF(AJ9=1,'Допущения'!$D$89,0)</f>
        <v/>
      </c>
      <c r="AK41" s="21">
        <f>IF(AK9=1,'Допущения'!$D$89,0)</f>
        <v/>
      </c>
      <c r="AL41" s="21">
        <f>IF(AL9=1,'Допущения'!$D$89,0)</f>
        <v/>
      </c>
    </row>
    <row r="42">
      <c r="A42" s="6" t="inlineStr">
        <is>
          <t>Магазины приложений</t>
        </is>
      </c>
      <c r="B42" s="44">
        <f>SUM(C42:AL42)</f>
        <v/>
      </c>
      <c r="C42" s="21">
        <f>IF(C6='Допущения'!$D$9-1,'Допущения'!$D$90+'Допущения'!$D$91,0)+IF(AND(C6&gt;'Допущения'!$D$9-1,MOD(C6-('Допущения'!$D$9-1),12)=0),'Допущения'!$D$90,0)</f>
        <v/>
      </c>
      <c r="D42" s="21">
        <f>IF(D6='Допущения'!$D$9-1,'Допущения'!$D$90+'Допущения'!$D$91,0)+IF(AND(D6&gt;'Допущения'!$D$9-1,MOD(D6-('Допущения'!$D$9-1),12)=0),'Допущения'!$D$90,0)</f>
        <v/>
      </c>
      <c r="E42" s="21">
        <f>IF(E6='Допущения'!$D$9-1,'Допущения'!$D$90+'Допущения'!$D$91,0)+IF(AND(E6&gt;'Допущения'!$D$9-1,MOD(E6-('Допущения'!$D$9-1),12)=0),'Допущения'!$D$90,0)</f>
        <v/>
      </c>
      <c r="F42" s="21">
        <f>IF(F6='Допущения'!$D$9-1,'Допущения'!$D$90+'Допущения'!$D$91,0)+IF(AND(F6&gt;'Допущения'!$D$9-1,MOD(F6-('Допущения'!$D$9-1),12)=0),'Допущения'!$D$90,0)</f>
        <v/>
      </c>
      <c r="G42" s="21">
        <f>IF(G6='Допущения'!$D$9-1,'Допущения'!$D$90+'Допущения'!$D$91,0)+IF(AND(G6&gt;'Допущения'!$D$9-1,MOD(G6-('Допущения'!$D$9-1),12)=0),'Допущения'!$D$90,0)</f>
        <v/>
      </c>
      <c r="H42" s="21">
        <f>IF(H6='Допущения'!$D$9-1,'Допущения'!$D$90+'Допущения'!$D$91,0)+IF(AND(H6&gt;'Допущения'!$D$9-1,MOD(H6-('Допущения'!$D$9-1),12)=0),'Допущения'!$D$90,0)</f>
        <v/>
      </c>
      <c r="I42" s="21">
        <f>IF(I6='Допущения'!$D$9-1,'Допущения'!$D$90+'Допущения'!$D$91,0)+IF(AND(I6&gt;'Допущения'!$D$9-1,MOD(I6-('Допущения'!$D$9-1),12)=0),'Допущения'!$D$90,0)</f>
        <v/>
      </c>
      <c r="J42" s="21">
        <f>IF(J6='Допущения'!$D$9-1,'Допущения'!$D$90+'Допущения'!$D$91,0)+IF(AND(J6&gt;'Допущения'!$D$9-1,MOD(J6-('Допущения'!$D$9-1),12)=0),'Допущения'!$D$90,0)</f>
        <v/>
      </c>
      <c r="K42" s="21">
        <f>IF(K6='Допущения'!$D$9-1,'Допущения'!$D$90+'Допущения'!$D$91,0)+IF(AND(K6&gt;'Допущения'!$D$9-1,MOD(K6-('Допущения'!$D$9-1),12)=0),'Допущения'!$D$90,0)</f>
        <v/>
      </c>
      <c r="L42" s="21">
        <f>IF(L6='Допущения'!$D$9-1,'Допущения'!$D$90+'Допущения'!$D$91,0)+IF(AND(L6&gt;'Допущения'!$D$9-1,MOD(L6-('Допущения'!$D$9-1),12)=0),'Допущения'!$D$90,0)</f>
        <v/>
      </c>
      <c r="M42" s="21">
        <f>IF(M6='Допущения'!$D$9-1,'Допущения'!$D$90+'Допущения'!$D$91,0)+IF(AND(M6&gt;'Допущения'!$D$9-1,MOD(M6-('Допущения'!$D$9-1),12)=0),'Допущения'!$D$90,0)</f>
        <v/>
      </c>
      <c r="N42" s="21">
        <f>IF(N6='Допущения'!$D$9-1,'Допущения'!$D$90+'Допущения'!$D$91,0)+IF(AND(N6&gt;'Допущения'!$D$9-1,MOD(N6-('Допущения'!$D$9-1),12)=0),'Допущения'!$D$90,0)</f>
        <v/>
      </c>
      <c r="O42" s="21">
        <f>IF(O6='Допущения'!$D$9-1,'Допущения'!$D$90+'Допущения'!$D$91,0)+IF(AND(O6&gt;'Допущения'!$D$9-1,MOD(O6-('Допущения'!$D$9-1),12)=0),'Допущения'!$D$90,0)</f>
        <v/>
      </c>
      <c r="P42" s="21">
        <f>IF(P6='Допущения'!$D$9-1,'Допущения'!$D$90+'Допущения'!$D$91,0)+IF(AND(P6&gt;'Допущения'!$D$9-1,MOD(P6-('Допущения'!$D$9-1),12)=0),'Допущения'!$D$90,0)</f>
        <v/>
      </c>
      <c r="Q42" s="21">
        <f>IF(Q6='Допущения'!$D$9-1,'Допущения'!$D$90+'Допущения'!$D$91,0)+IF(AND(Q6&gt;'Допущения'!$D$9-1,MOD(Q6-('Допущения'!$D$9-1),12)=0),'Допущения'!$D$90,0)</f>
        <v/>
      </c>
      <c r="R42" s="21">
        <f>IF(R6='Допущения'!$D$9-1,'Допущения'!$D$90+'Допущения'!$D$91,0)+IF(AND(R6&gt;'Допущения'!$D$9-1,MOD(R6-('Допущения'!$D$9-1),12)=0),'Допущения'!$D$90,0)</f>
        <v/>
      </c>
      <c r="S42" s="21">
        <f>IF(S6='Допущения'!$D$9-1,'Допущения'!$D$90+'Допущения'!$D$91,0)+IF(AND(S6&gt;'Допущения'!$D$9-1,MOD(S6-('Допущения'!$D$9-1),12)=0),'Допущения'!$D$90,0)</f>
        <v/>
      </c>
      <c r="T42" s="21">
        <f>IF(T6='Допущения'!$D$9-1,'Допущения'!$D$90+'Допущения'!$D$91,0)+IF(AND(T6&gt;'Допущения'!$D$9-1,MOD(T6-('Допущения'!$D$9-1),12)=0),'Допущения'!$D$90,0)</f>
        <v/>
      </c>
      <c r="U42" s="21">
        <f>IF(U6='Допущения'!$D$9-1,'Допущения'!$D$90+'Допущения'!$D$91,0)+IF(AND(U6&gt;'Допущения'!$D$9-1,MOD(U6-('Допущения'!$D$9-1),12)=0),'Допущения'!$D$90,0)</f>
        <v/>
      </c>
      <c r="V42" s="21">
        <f>IF(V6='Допущения'!$D$9-1,'Допущения'!$D$90+'Допущения'!$D$91,0)+IF(AND(V6&gt;'Допущения'!$D$9-1,MOD(V6-('Допущения'!$D$9-1),12)=0),'Допущения'!$D$90,0)</f>
        <v/>
      </c>
      <c r="W42" s="21">
        <f>IF(W6='Допущения'!$D$9-1,'Допущения'!$D$90+'Допущения'!$D$91,0)+IF(AND(W6&gt;'Допущения'!$D$9-1,MOD(W6-('Допущения'!$D$9-1),12)=0),'Допущения'!$D$90,0)</f>
        <v/>
      </c>
      <c r="X42" s="21">
        <f>IF(X6='Допущения'!$D$9-1,'Допущения'!$D$90+'Допущения'!$D$91,0)+IF(AND(X6&gt;'Допущения'!$D$9-1,MOD(X6-('Допущения'!$D$9-1),12)=0),'Допущения'!$D$90,0)</f>
        <v/>
      </c>
      <c r="Y42" s="21">
        <f>IF(Y6='Допущения'!$D$9-1,'Допущения'!$D$90+'Допущения'!$D$91,0)+IF(AND(Y6&gt;'Допущения'!$D$9-1,MOD(Y6-('Допущения'!$D$9-1),12)=0),'Допущения'!$D$90,0)</f>
        <v/>
      </c>
      <c r="Z42" s="21">
        <f>IF(Z6='Допущения'!$D$9-1,'Допущения'!$D$90+'Допущения'!$D$91,0)+IF(AND(Z6&gt;'Допущения'!$D$9-1,MOD(Z6-('Допущения'!$D$9-1),12)=0),'Допущения'!$D$90,0)</f>
        <v/>
      </c>
      <c r="AA42" s="21">
        <f>IF(AA6='Допущения'!$D$9-1,'Допущения'!$D$90+'Допущения'!$D$91,0)+IF(AND(AA6&gt;'Допущения'!$D$9-1,MOD(AA6-('Допущения'!$D$9-1),12)=0),'Допущения'!$D$90,0)</f>
        <v/>
      </c>
      <c r="AB42" s="21">
        <f>IF(AB6='Допущения'!$D$9-1,'Допущения'!$D$90+'Допущения'!$D$91,0)+IF(AND(AB6&gt;'Допущения'!$D$9-1,MOD(AB6-('Допущения'!$D$9-1),12)=0),'Допущения'!$D$90,0)</f>
        <v/>
      </c>
      <c r="AC42" s="21">
        <f>IF(AC6='Допущения'!$D$9-1,'Допущения'!$D$90+'Допущения'!$D$91,0)+IF(AND(AC6&gt;'Допущения'!$D$9-1,MOD(AC6-('Допущения'!$D$9-1),12)=0),'Допущения'!$D$90,0)</f>
        <v/>
      </c>
      <c r="AD42" s="21">
        <f>IF(AD6='Допущения'!$D$9-1,'Допущения'!$D$90+'Допущения'!$D$91,0)+IF(AND(AD6&gt;'Допущения'!$D$9-1,MOD(AD6-('Допущения'!$D$9-1),12)=0),'Допущения'!$D$90,0)</f>
        <v/>
      </c>
      <c r="AE42" s="21">
        <f>IF(AE6='Допущения'!$D$9-1,'Допущения'!$D$90+'Допущения'!$D$91,0)+IF(AND(AE6&gt;'Допущения'!$D$9-1,MOD(AE6-('Допущения'!$D$9-1),12)=0),'Допущения'!$D$90,0)</f>
        <v/>
      </c>
      <c r="AF42" s="21">
        <f>IF(AF6='Допущения'!$D$9-1,'Допущения'!$D$90+'Допущения'!$D$91,0)+IF(AND(AF6&gt;'Допущения'!$D$9-1,MOD(AF6-('Допущения'!$D$9-1),12)=0),'Допущения'!$D$90,0)</f>
        <v/>
      </c>
      <c r="AG42" s="21">
        <f>IF(AG6='Допущения'!$D$9-1,'Допущения'!$D$90+'Допущения'!$D$91,0)+IF(AND(AG6&gt;'Допущения'!$D$9-1,MOD(AG6-('Допущения'!$D$9-1),12)=0),'Допущения'!$D$90,0)</f>
        <v/>
      </c>
      <c r="AH42" s="21">
        <f>IF(AH6='Допущения'!$D$9-1,'Допущения'!$D$90+'Допущения'!$D$91,0)+IF(AND(AH6&gt;'Допущения'!$D$9-1,MOD(AH6-('Допущения'!$D$9-1),12)=0),'Допущения'!$D$90,0)</f>
        <v/>
      </c>
      <c r="AI42" s="21">
        <f>IF(AI6='Допущения'!$D$9-1,'Допущения'!$D$90+'Допущения'!$D$91,0)+IF(AND(AI6&gt;'Допущения'!$D$9-1,MOD(AI6-('Допущения'!$D$9-1),12)=0),'Допущения'!$D$90,0)</f>
        <v/>
      </c>
      <c r="AJ42" s="21">
        <f>IF(AJ6='Допущения'!$D$9-1,'Допущения'!$D$90+'Допущения'!$D$91,0)+IF(AND(AJ6&gt;'Допущения'!$D$9-1,MOD(AJ6-('Допущения'!$D$9-1),12)=0),'Допущения'!$D$90,0)</f>
        <v/>
      </c>
      <c r="AK42" s="21">
        <f>IF(AK6='Допущения'!$D$9-1,'Допущения'!$D$90+'Допущения'!$D$91,0)+IF(AND(AK6&gt;'Допущения'!$D$9-1,MOD(AK6-('Допущения'!$D$9-1),12)=0),'Допущения'!$D$90,0)</f>
        <v/>
      </c>
      <c r="AL42" s="21">
        <f>IF(AL6='Допущения'!$D$9-1,'Допущения'!$D$90+'Допущения'!$D$91,0)+IF(AND(AL6&gt;'Допущения'!$D$9-1,MOD(AL6-('Допущения'!$D$9-1),12)=0),'Допущения'!$D$90,0)</f>
        <v/>
      </c>
    </row>
    <row r="43">
      <c r="A43" s="6" t="inlineStr">
        <is>
          <t>Разовые стартовые (лист «Старт»)</t>
        </is>
      </c>
      <c r="B43" s="44">
        <f>SUM(C43:AL43)</f>
        <v/>
      </c>
      <c r="C43" s="21">
        <f>SUMIF('Старт'!$C$5:$C$17,C6,'Старт'!$D$5:$D$17)</f>
        <v/>
      </c>
      <c r="D43" s="21">
        <f>SUMIF('Старт'!$C$5:$C$17,D6,'Старт'!$D$5:$D$17)</f>
        <v/>
      </c>
      <c r="E43" s="21">
        <f>SUMIF('Старт'!$C$5:$C$17,E6,'Старт'!$D$5:$D$17)</f>
        <v/>
      </c>
      <c r="F43" s="21">
        <f>SUMIF('Старт'!$C$5:$C$17,F6,'Старт'!$D$5:$D$17)</f>
        <v/>
      </c>
      <c r="G43" s="21">
        <f>SUMIF('Старт'!$C$5:$C$17,G6,'Старт'!$D$5:$D$17)</f>
        <v/>
      </c>
      <c r="H43" s="21">
        <f>SUMIF('Старт'!$C$5:$C$17,H6,'Старт'!$D$5:$D$17)</f>
        <v/>
      </c>
      <c r="I43" s="21">
        <f>SUMIF('Старт'!$C$5:$C$17,I6,'Старт'!$D$5:$D$17)</f>
        <v/>
      </c>
      <c r="J43" s="21">
        <f>SUMIF('Старт'!$C$5:$C$17,J6,'Старт'!$D$5:$D$17)</f>
        <v/>
      </c>
      <c r="K43" s="21">
        <f>SUMIF('Старт'!$C$5:$C$17,K6,'Старт'!$D$5:$D$17)</f>
        <v/>
      </c>
      <c r="L43" s="21">
        <f>SUMIF('Старт'!$C$5:$C$17,L6,'Старт'!$D$5:$D$17)</f>
        <v/>
      </c>
      <c r="M43" s="21">
        <f>SUMIF('Старт'!$C$5:$C$17,M6,'Старт'!$D$5:$D$17)</f>
        <v/>
      </c>
      <c r="N43" s="21">
        <f>SUMIF('Старт'!$C$5:$C$17,N6,'Старт'!$D$5:$D$17)</f>
        <v/>
      </c>
      <c r="O43" s="21">
        <f>SUMIF('Старт'!$C$5:$C$17,O6,'Старт'!$D$5:$D$17)</f>
        <v/>
      </c>
      <c r="P43" s="21">
        <f>SUMIF('Старт'!$C$5:$C$17,P6,'Старт'!$D$5:$D$17)</f>
        <v/>
      </c>
      <c r="Q43" s="21">
        <f>SUMIF('Старт'!$C$5:$C$17,Q6,'Старт'!$D$5:$D$17)</f>
        <v/>
      </c>
      <c r="R43" s="21">
        <f>SUMIF('Старт'!$C$5:$C$17,R6,'Старт'!$D$5:$D$17)</f>
        <v/>
      </c>
      <c r="S43" s="21">
        <f>SUMIF('Старт'!$C$5:$C$17,S6,'Старт'!$D$5:$D$17)</f>
        <v/>
      </c>
      <c r="T43" s="21">
        <f>SUMIF('Старт'!$C$5:$C$17,T6,'Старт'!$D$5:$D$17)</f>
        <v/>
      </c>
      <c r="U43" s="21">
        <f>SUMIF('Старт'!$C$5:$C$17,U6,'Старт'!$D$5:$D$17)</f>
        <v/>
      </c>
      <c r="V43" s="21">
        <f>SUMIF('Старт'!$C$5:$C$17,V6,'Старт'!$D$5:$D$17)</f>
        <v/>
      </c>
      <c r="W43" s="21">
        <f>SUMIF('Старт'!$C$5:$C$17,W6,'Старт'!$D$5:$D$17)</f>
        <v/>
      </c>
      <c r="X43" s="21">
        <f>SUMIF('Старт'!$C$5:$C$17,X6,'Старт'!$D$5:$D$17)</f>
        <v/>
      </c>
      <c r="Y43" s="21">
        <f>SUMIF('Старт'!$C$5:$C$17,Y6,'Старт'!$D$5:$D$17)</f>
        <v/>
      </c>
      <c r="Z43" s="21">
        <f>SUMIF('Старт'!$C$5:$C$17,Z6,'Старт'!$D$5:$D$17)</f>
        <v/>
      </c>
      <c r="AA43" s="21">
        <f>SUMIF('Старт'!$C$5:$C$17,AA6,'Старт'!$D$5:$D$17)</f>
        <v/>
      </c>
      <c r="AB43" s="21">
        <f>SUMIF('Старт'!$C$5:$C$17,AB6,'Старт'!$D$5:$D$17)</f>
        <v/>
      </c>
      <c r="AC43" s="21">
        <f>SUMIF('Старт'!$C$5:$C$17,AC6,'Старт'!$D$5:$D$17)</f>
        <v/>
      </c>
      <c r="AD43" s="21">
        <f>SUMIF('Старт'!$C$5:$C$17,AD6,'Старт'!$D$5:$D$17)</f>
        <v/>
      </c>
      <c r="AE43" s="21">
        <f>SUMIF('Старт'!$C$5:$C$17,AE6,'Старт'!$D$5:$D$17)</f>
        <v/>
      </c>
      <c r="AF43" s="21">
        <f>SUMIF('Старт'!$C$5:$C$17,AF6,'Старт'!$D$5:$D$17)</f>
        <v/>
      </c>
      <c r="AG43" s="21">
        <f>SUMIF('Старт'!$C$5:$C$17,AG6,'Старт'!$D$5:$D$17)</f>
        <v/>
      </c>
      <c r="AH43" s="21">
        <f>SUMIF('Старт'!$C$5:$C$17,AH6,'Старт'!$D$5:$D$17)</f>
        <v/>
      </c>
      <c r="AI43" s="21">
        <f>SUMIF('Старт'!$C$5:$C$17,AI6,'Старт'!$D$5:$D$17)</f>
        <v/>
      </c>
      <c r="AJ43" s="21">
        <f>SUMIF('Старт'!$C$5:$C$17,AJ6,'Старт'!$D$5:$D$17)</f>
        <v/>
      </c>
      <c r="AK43" s="21">
        <f>SUMIF('Старт'!$C$5:$C$17,AK6,'Старт'!$D$5:$D$17)</f>
        <v/>
      </c>
      <c r="AL43" s="21">
        <f>SUMIF('Старт'!$C$5:$C$17,AL6,'Старт'!$D$5:$D$17)</f>
        <v/>
      </c>
    </row>
    <row r="44">
      <c r="A44" s="6" t="inlineStr">
        <is>
          <t>Контент / SMM</t>
        </is>
      </c>
      <c r="B44" s="44">
        <f>SUM(C44:AL44)</f>
        <v/>
      </c>
      <c r="C44" s="21">
        <f>IF(C6&gt;'Допущения'!$D$9,'Допущения'!$D$92,0)</f>
        <v/>
      </c>
      <c r="D44" s="21">
        <f>IF(D6&gt;'Допущения'!$D$9,'Допущения'!$D$92,0)</f>
        <v/>
      </c>
      <c r="E44" s="21">
        <f>IF(E6&gt;'Допущения'!$D$9,'Допущения'!$D$92,0)</f>
        <v/>
      </c>
      <c r="F44" s="21">
        <f>IF(F6&gt;'Допущения'!$D$9,'Допущения'!$D$92,0)</f>
        <v/>
      </c>
      <c r="G44" s="21">
        <f>IF(G6&gt;'Допущения'!$D$9,'Допущения'!$D$92,0)</f>
        <v/>
      </c>
      <c r="H44" s="21">
        <f>IF(H6&gt;'Допущения'!$D$9,'Допущения'!$D$92,0)</f>
        <v/>
      </c>
      <c r="I44" s="21">
        <f>IF(I6&gt;'Допущения'!$D$9,'Допущения'!$D$92,0)</f>
        <v/>
      </c>
      <c r="J44" s="21">
        <f>IF(J6&gt;'Допущения'!$D$9,'Допущения'!$D$92,0)</f>
        <v/>
      </c>
      <c r="K44" s="21">
        <f>IF(K6&gt;'Допущения'!$D$9,'Допущения'!$D$92,0)</f>
        <v/>
      </c>
      <c r="L44" s="21">
        <f>IF(L6&gt;'Допущения'!$D$9,'Допущения'!$D$92,0)</f>
        <v/>
      </c>
      <c r="M44" s="21">
        <f>IF(M6&gt;'Допущения'!$D$9,'Допущения'!$D$92,0)</f>
        <v/>
      </c>
      <c r="N44" s="21">
        <f>IF(N6&gt;'Допущения'!$D$9,'Допущения'!$D$92,0)</f>
        <v/>
      </c>
      <c r="O44" s="21">
        <f>IF(O6&gt;'Допущения'!$D$9,'Допущения'!$D$92,0)</f>
        <v/>
      </c>
      <c r="P44" s="21">
        <f>IF(P6&gt;'Допущения'!$D$9,'Допущения'!$D$92,0)</f>
        <v/>
      </c>
      <c r="Q44" s="21">
        <f>IF(Q6&gt;'Допущения'!$D$9,'Допущения'!$D$92,0)</f>
        <v/>
      </c>
      <c r="R44" s="21">
        <f>IF(R6&gt;'Допущения'!$D$9,'Допущения'!$D$92,0)</f>
        <v/>
      </c>
      <c r="S44" s="21">
        <f>IF(S6&gt;'Допущения'!$D$9,'Допущения'!$D$92,0)</f>
        <v/>
      </c>
      <c r="T44" s="21">
        <f>IF(T6&gt;'Допущения'!$D$9,'Допущения'!$D$92,0)</f>
        <v/>
      </c>
      <c r="U44" s="21">
        <f>IF(U6&gt;'Допущения'!$D$9,'Допущения'!$D$92,0)</f>
        <v/>
      </c>
      <c r="V44" s="21">
        <f>IF(V6&gt;'Допущения'!$D$9,'Допущения'!$D$92,0)</f>
        <v/>
      </c>
      <c r="W44" s="21">
        <f>IF(W6&gt;'Допущения'!$D$9,'Допущения'!$D$92,0)</f>
        <v/>
      </c>
      <c r="X44" s="21">
        <f>IF(X6&gt;'Допущения'!$D$9,'Допущения'!$D$92,0)</f>
        <v/>
      </c>
      <c r="Y44" s="21">
        <f>IF(Y6&gt;'Допущения'!$D$9,'Допущения'!$D$92,0)</f>
        <v/>
      </c>
      <c r="Z44" s="21">
        <f>IF(Z6&gt;'Допущения'!$D$9,'Допущения'!$D$92,0)</f>
        <v/>
      </c>
      <c r="AA44" s="21">
        <f>IF(AA6&gt;'Допущения'!$D$9,'Допущения'!$D$92,0)</f>
        <v/>
      </c>
      <c r="AB44" s="21">
        <f>IF(AB6&gt;'Допущения'!$D$9,'Допущения'!$D$92,0)</f>
        <v/>
      </c>
      <c r="AC44" s="21">
        <f>IF(AC6&gt;'Допущения'!$D$9,'Допущения'!$D$92,0)</f>
        <v/>
      </c>
      <c r="AD44" s="21">
        <f>IF(AD6&gt;'Допущения'!$D$9,'Допущения'!$D$92,0)</f>
        <v/>
      </c>
      <c r="AE44" s="21">
        <f>IF(AE6&gt;'Допущения'!$D$9,'Допущения'!$D$92,0)</f>
        <v/>
      </c>
      <c r="AF44" s="21">
        <f>IF(AF6&gt;'Допущения'!$D$9,'Допущения'!$D$92,0)</f>
        <v/>
      </c>
      <c r="AG44" s="21">
        <f>IF(AG6&gt;'Допущения'!$D$9,'Допущения'!$D$92,0)</f>
        <v/>
      </c>
      <c r="AH44" s="21">
        <f>IF(AH6&gt;'Допущения'!$D$9,'Допущения'!$D$92,0)</f>
        <v/>
      </c>
      <c r="AI44" s="21">
        <f>IF(AI6&gt;'Допущения'!$D$9,'Допущения'!$D$92,0)</f>
        <v/>
      </c>
      <c r="AJ44" s="21">
        <f>IF(AJ6&gt;'Допущения'!$D$9,'Допущения'!$D$92,0)</f>
        <v/>
      </c>
      <c r="AK44" s="21">
        <f>IF(AK6&gt;'Допущения'!$D$9,'Допущения'!$D$92,0)</f>
        <v/>
      </c>
      <c r="AL44" s="21">
        <f>IF(AL6&gt;'Допущения'!$D$9,'Допущения'!$D$92,0)</f>
        <v/>
      </c>
    </row>
    <row r="45">
      <c r="A45" s="6" t="inlineStr">
        <is>
          <t>Маркетинг</t>
        </is>
      </c>
      <c r="B45" s="44">
        <f>SUM(C45:AL45)</f>
        <v/>
      </c>
      <c r="C45" s="21">
        <f>C11</f>
        <v/>
      </c>
      <c r="D45" s="21">
        <f>D11</f>
        <v/>
      </c>
      <c r="E45" s="21">
        <f>E11</f>
        <v/>
      </c>
      <c r="F45" s="21">
        <f>F11</f>
        <v/>
      </c>
      <c r="G45" s="21">
        <f>G11</f>
        <v/>
      </c>
      <c r="H45" s="21">
        <f>H11</f>
        <v/>
      </c>
      <c r="I45" s="21">
        <f>I11</f>
        <v/>
      </c>
      <c r="J45" s="21">
        <f>J11</f>
        <v/>
      </c>
      <c r="K45" s="21">
        <f>K11</f>
        <v/>
      </c>
      <c r="L45" s="21">
        <f>L11</f>
        <v/>
      </c>
      <c r="M45" s="21">
        <f>M11</f>
        <v/>
      </c>
      <c r="N45" s="21">
        <f>N11</f>
        <v/>
      </c>
      <c r="O45" s="21">
        <f>O11</f>
        <v/>
      </c>
      <c r="P45" s="21">
        <f>P11</f>
        <v/>
      </c>
      <c r="Q45" s="21">
        <f>Q11</f>
        <v/>
      </c>
      <c r="R45" s="21">
        <f>R11</f>
        <v/>
      </c>
      <c r="S45" s="21">
        <f>S11</f>
        <v/>
      </c>
      <c r="T45" s="21">
        <f>T11</f>
        <v/>
      </c>
      <c r="U45" s="21">
        <f>U11</f>
        <v/>
      </c>
      <c r="V45" s="21">
        <f>V11</f>
        <v/>
      </c>
      <c r="W45" s="21">
        <f>W11</f>
        <v/>
      </c>
      <c r="X45" s="21">
        <f>X11</f>
        <v/>
      </c>
      <c r="Y45" s="21">
        <f>Y11</f>
        <v/>
      </c>
      <c r="Z45" s="21">
        <f>Z11</f>
        <v/>
      </c>
      <c r="AA45" s="21">
        <f>AA11</f>
        <v/>
      </c>
      <c r="AB45" s="21">
        <f>AB11</f>
        <v/>
      </c>
      <c r="AC45" s="21">
        <f>AC11</f>
        <v/>
      </c>
      <c r="AD45" s="21">
        <f>AD11</f>
        <v/>
      </c>
      <c r="AE45" s="21">
        <f>AE11</f>
        <v/>
      </c>
      <c r="AF45" s="21">
        <f>AF11</f>
        <v/>
      </c>
      <c r="AG45" s="21">
        <f>AG11</f>
        <v/>
      </c>
      <c r="AH45" s="21">
        <f>AH11</f>
        <v/>
      </c>
      <c r="AI45" s="21">
        <f>AI11</f>
        <v/>
      </c>
      <c r="AJ45" s="21">
        <f>AJ11</f>
        <v/>
      </c>
      <c r="AK45" s="21">
        <f>AK11</f>
        <v/>
      </c>
      <c r="AL45" s="21">
        <f>AL11</f>
        <v/>
      </c>
    </row>
    <row r="46">
      <c r="A46" s="6" t="inlineStr">
        <is>
          <t>Выплаты основателям</t>
        </is>
      </c>
      <c r="B46" s="44">
        <f>SUM(C46:AL46)</f>
        <v/>
      </c>
      <c r="C46" s="21">
        <f>IF(C6&gt;='Допущения'!$D$94,MIN('Допущения'!$D$95,MAX(0,'Допущения'!$D$96*(0+0))),0)</f>
        <v/>
      </c>
      <c r="D46" s="21">
        <f>IF(D6&gt;='Допущения'!$D$94,MIN('Допущения'!$D$95,MAX(0,'Допущения'!$D$96*(C48+C46))),0)</f>
        <v/>
      </c>
      <c r="E46" s="21">
        <f>IF(E6&gt;='Допущения'!$D$94,MIN('Допущения'!$D$95,MAX(0,'Допущения'!$D$96*(D48+D46))),0)</f>
        <v/>
      </c>
      <c r="F46" s="21">
        <f>IF(F6&gt;='Допущения'!$D$94,MIN('Допущения'!$D$95,MAX(0,'Допущения'!$D$96*(E48+E46))),0)</f>
        <v/>
      </c>
      <c r="G46" s="21">
        <f>IF(G6&gt;='Допущения'!$D$94,MIN('Допущения'!$D$95,MAX(0,'Допущения'!$D$96*(F48+F46))),0)</f>
        <v/>
      </c>
      <c r="H46" s="21">
        <f>IF(H6&gt;='Допущения'!$D$94,MIN('Допущения'!$D$95,MAX(0,'Допущения'!$D$96*(G48+G46))),0)</f>
        <v/>
      </c>
      <c r="I46" s="21">
        <f>IF(I6&gt;='Допущения'!$D$94,MIN('Допущения'!$D$95,MAX(0,'Допущения'!$D$96*(H48+H46))),0)</f>
        <v/>
      </c>
      <c r="J46" s="21">
        <f>IF(J6&gt;='Допущения'!$D$94,MIN('Допущения'!$D$95,MAX(0,'Допущения'!$D$96*(I48+I46))),0)</f>
        <v/>
      </c>
      <c r="K46" s="21">
        <f>IF(K6&gt;='Допущения'!$D$94,MIN('Допущения'!$D$95,MAX(0,'Допущения'!$D$96*(J48+J46))),0)</f>
        <v/>
      </c>
      <c r="L46" s="21">
        <f>IF(L6&gt;='Допущения'!$D$94,MIN('Допущения'!$D$95,MAX(0,'Допущения'!$D$96*(K48+K46))),0)</f>
        <v/>
      </c>
      <c r="M46" s="21">
        <f>IF(M6&gt;='Допущения'!$D$94,MIN('Допущения'!$D$95,MAX(0,'Допущения'!$D$96*(L48+L46))),0)</f>
        <v/>
      </c>
      <c r="N46" s="21">
        <f>IF(N6&gt;='Допущения'!$D$94,MIN('Допущения'!$D$95,MAX(0,'Допущения'!$D$96*(M48+M46))),0)</f>
        <v/>
      </c>
      <c r="O46" s="21">
        <f>IF(O6&gt;='Допущения'!$D$94,MIN('Допущения'!$D$95,MAX(0,'Допущения'!$D$96*(N48+N46))),0)</f>
        <v/>
      </c>
      <c r="P46" s="21">
        <f>IF(P6&gt;='Допущения'!$D$94,MIN('Допущения'!$D$95,MAX(0,'Допущения'!$D$96*(O48+O46))),0)</f>
        <v/>
      </c>
      <c r="Q46" s="21">
        <f>IF(Q6&gt;='Допущения'!$D$94,MIN('Допущения'!$D$95,MAX(0,'Допущения'!$D$96*(P48+P46))),0)</f>
        <v/>
      </c>
      <c r="R46" s="21">
        <f>IF(R6&gt;='Допущения'!$D$94,MIN('Допущения'!$D$95,MAX(0,'Допущения'!$D$96*(Q48+Q46))),0)</f>
        <v/>
      </c>
      <c r="S46" s="21">
        <f>IF(S6&gt;='Допущения'!$D$94,MIN('Допущения'!$D$95,MAX(0,'Допущения'!$D$96*(R48+R46))),0)</f>
        <v/>
      </c>
      <c r="T46" s="21">
        <f>IF(T6&gt;='Допущения'!$D$94,MIN('Допущения'!$D$95,MAX(0,'Допущения'!$D$96*(S48+S46))),0)</f>
        <v/>
      </c>
      <c r="U46" s="21">
        <f>IF(U6&gt;='Допущения'!$D$94,MIN('Допущения'!$D$95,MAX(0,'Допущения'!$D$96*(T48+T46))),0)</f>
        <v/>
      </c>
      <c r="V46" s="21">
        <f>IF(V6&gt;='Допущения'!$D$94,MIN('Допущения'!$D$95,MAX(0,'Допущения'!$D$96*(U48+U46))),0)</f>
        <v/>
      </c>
      <c r="W46" s="21">
        <f>IF(W6&gt;='Допущения'!$D$94,MIN('Допущения'!$D$95,MAX(0,'Допущения'!$D$96*(V48+V46))),0)</f>
        <v/>
      </c>
      <c r="X46" s="21">
        <f>IF(X6&gt;='Допущения'!$D$94,MIN('Допущения'!$D$95,MAX(0,'Допущения'!$D$96*(W48+W46))),0)</f>
        <v/>
      </c>
      <c r="Y46" s="21">
        <f>IF(Y6&gt;='Допущения'!$D$94,MIN('Допущения'!$D$95,MAX(0,'Допущения'!$D$96*(X48+X46))),0)</f>
        <v/>
      </c>
      <c r="Z46" s="21">
        <f>IF(Z6&gt;='Допущения'!$D$94,MIN('Допущения'!$D$95,MAX(0,'Допущения'!$D$96*(Y48+Y46))),0)</f>
        <v/>
      </c>
      <c r="AA46" s="21">
        <f>IF(AA6&gt;='Допущения'!$D$94,MIN('Допущения'!$D$95,MAX(0,'Допущения'!$D$96*(Z48+Z46))),0)</f>
        <v/>
      </c>
      <c r="AB46" s="21">
        <f>IF(AB6&gt;='Допущения'!$D$94,MIN('Допущения'!$D$95,MAX(0,'Допущения'!$D$96*(AA48+AA46))),0)</f>
        <v/>
      </c>
      <c r="AC46" s="21">
        <f>IF(AC6&gt;='Допущения'!$D$94,MIN('Допущения'!$D$95,MAX(0,'Допущения'!$D$96*(AB48+AB46))),0)</f>
        <v/>
      </c>
      <c r="AD46" s="21">
        <f>IF(AD6&gt;='Допущения'!$D$94,MIN('Допущения'!$D$95,MAX(0,'Допущения'!$D$96*(AC48+AC46))),0)</f>
        <v/>
      </c>
      <c r="AE46" s="21">
        <f>IF(AE6&gt;='Допущения'!$D$94,MIN('Допущения'!$D$95,MAX(0,'Допущения'!$D$96*(AD48+AD46))),0)</f>
        <v/>
      </c>
      <c r="AF46" s="21">
        <f>IF(AF6&gt;='Допущения'!$D$94,MIN('Допущения'!$D$95,MAX(0,'Допущения'!$D$96*(AE48+AE46))),0)</f>
        <v/>
      </c>
      <c r="AG46" s="21">
        <f>IF(AG6&gt;='Допущения'!$D$94,MIN('Допущения'!$D$95,MAX(0,'Допущения'!$D$96*(AF48+AF46))),0)</f>
        <v/>
      </c>
      <c r="AH46" s="21">
        <f>IF(AH6&gt;='Допущения'!$D$94,MIN('Допущения'!$D$95,MAX(0,'Допущения'!$D$96*(AG48+AG46))),0)</f>
        <v/>
      </c>
      <c r="AI46" s="21">
        <f>IF(AI6&gt;='Допущения'!$D$94,MIN('Допущения'!$D$95,MAX(0,'Допущения'!$D$96*(AH48+AH46))),0)</f>
        <v/>
      </c>
      <c r="AJ46" s="21">
        <f>IF(AJ6&gt;='Допущения'!$D$94,MIN('Допущения'!$D$95,MAX(0,'Допущения'!$D$96*(AI48+AI46))),0)</f>
        <v/>
      </c>
      <c r="AK46" s="21">
        <f>IF(AK6&gt;='Допущения'!$D$94,MIN('Допущения'!$D$95,MAX(0,'Допущения'!$D$96*(AJ48+AJ46))),0)</f>
        <v/>
      </c>
      <c r="AL46" s="21">
        <f>IF(AL6&gt;='Допущения'!$D$94,MIN('Допущения'!$D$95,MAX(0,'Допущения'!$D$96*(AK48+AK46))),0)</f>
        <v/>
      </c>
    </row>
    <row r="47">
      <c r="A47" s="6" t="inlineStr">
        <is>
          <t>Итого постоянные + маркетинг</t>
        </is>
      </c>
      <c r="B47" s="44">
        <f>SUM(C47:AL47)</f>
        <v/>
      </c>
      <c r="C47" s="21">
        <f>SUM(C38:C46)</f>
        <v/>
      </c>
      <c r="D47" s="21">
        <f>SUM(D38:D46)</f>
        <v/>
      </c>
      <c r="E47" s="21">
        <f>SUM(E38:E46)</f>
        <v/>
      </c>
      <c r="F47" s="21">
        <f>SUM(F38:F46)</f>
        <v/>
      </c>
      <c r="G47" s="21">
        <f>SUM(G38:G46)</f>
        <v/>
      </c>
      <c r="H47" s="21">
        <f>SUM(H38:H46)</f>
        <v/>
      </c>
      <c r="I47" s="21">
        <f>SUM(I38:I46)</f>
        <v/>
      </c>
      <c r="J47" s="21">
        <f>SUM(J38:J46)</f>
        <v/>
      </c>
      <c r="K47" s="21">
        <f>SUM(K38:K46)</f>
        <v/>
      </c>
      <c r="L47" s="21">
        <f>SUM(L38:L46)</f>
        <v/>
      </c>
      <c r="M47" s="21">
        <f>SUM(M38:M46)</f>
        <v/>
      </c>
      <c r="N47" s="21">
        <f>SUM(N38:N46)</f>
        <v/>
      </c>
      <c r="O47" s="21">
        <f>SUM(O38:O46)</f>
        <v/>
      </c>
      <c r="P47" s="21">
        <f>SUM(P38:P46)</f>
        <v/>
      </c>
      <c r="Q47" s="21">
        <f>SUM(Q38:Q46)</f>
        <v/>
      </c>
      <c r="R47" s="21">
        <f>SUM(R38:R46)</f>
        <v/>
      </c>
      <c r="S47" s="21">
        <f>SUM(S38:S46)</f>
        <v/>
      </c>
      <c r="T47" s="21">
        <f>SUM(T38:T46)</f>
        <v/>
      </c>
      <c r="U47" s="21">
        <f>SUM(U38:U46)</f>
        <v/>
      </c>
      <c r="V47" s="21">
        <f>SUM(V38:V46)</f>
        <v/>
      </c>
      <c r="W47" s="21">
        <f>SUM(W38:W46)</f>
        <v/>
      </c>
      <c r="X47" s="21">
        <f>SUM(X38:X46)</f>
        <v/>
      </c>
      <c r="Y47" s="21">
        <f>SUM(Y38:Y46)</f>
        <v/>
      </c>
      <c r="Z47" s="21">
        <f>SUM(Z38:Z46)</f>
        <v/>
      </c>
      <c r="AA47" s="21">
        <f>SUM(AA38:AA46)</f>
        <v/>
      </c>
      <c r="AB47" s="21">
        <f>SUM(AB38:AB46)</f>
        <v/>
      </c>
      <c r="AC47" s="21">
        <f>SUM(AC38:AC46)</f>
        <v/>
      </c>
      <c r="AD47" s="21">
        <f>SUM(AD38:AD46)</f>
        <v/>
      </c>
      <c r="AE47" s="21">
        <f>SUM(AE38:AE46)</f>
        <v/>
      </c>
      <c r="AF47" s="21">
        <f>SUM(AF38:AF46)</f>
        <v/>
      </c>
      <c r="AG47" s="21">
        <f>SUM(AG38:AG46)</f>
        <v/>
      </c>
      <c r="AH47" s="21">
        <f>SUM(AH38:AH46)</f>
        <v/>
      </c>
      <c r="AI47" s="21">
        <f>SUM(AI38:AI46)</f>
        <v/>
      </c>
      <c r="AJ47" s="21">
        <f>SUM(AJ38:AJ46)</f>
        <v/>
      </c>
      <c r="AK47" s="21">
        <f>SUM(AK38:AK46)</f>
        <v/>
      </c>
      <c r="AL47" s="21">
        <f>SUM(AL38:AL46)</f>
        <v/>
      </c>
    </row>
    <row r="48">
      <c r="A48" s="6" t="inlineStr">
        <is>
          <t>EBITDA</t>
        </is>
      </c>
      <c r="B48" s="44">
        <f>SUM(C48:AL48)</f>
        <v/>
      </c>
      <c r="C48" s="21">
        <f>C35-C47</f>
        <v/>
      </c>
      <c r="D48" s="21">
        <f>D35-D47</f>
        <v/>
      </c>
      <c r="E48" s="21">
        <f>E35-E47</f>
        <v/>
      </c>
      <c r="F48" s="21">
        <f>F35-F47</f>
        <v/>
      </c>
      <c r="G48" s="21">
        <f>G35-G47</f>
        <v/>
      </c>
      <c r="H48" s="21">
        <f>H35-H47</f>
        <v/>
      </c>
      <c r="I48" s="21">
        <f>I35-I47</f>
        <v/>
      </c>
      <c r="J48" s="21">
        <f>J35-J47</f>
        <v/>
      </c>
      <c r="K48" s="21">
        <f>K35-K47</f>
        <v/>
      </c>
      <c r="L48" s="21">
        <f>L35-L47</f>
        <v/>
      </c>
      <c r="M48" s="21">
        <f>M35-M47</f>
        <v/>
      </c>
      <c r="N48" s="21">
        <f>N35-N47</f>
        <v/>
      </c>
      <c r="O48" s="21">
        <f>O35-O47</f>
        <v/>
      </c>
      <c r="P48" s="21">
        <f>P35-P47</f>
        <v/>
      </c>
      <c r="Q48" s="21">
        <f>Q35-Q47</f>
        <v/>
      </c>
      <c r="R48" s="21">
        <f>R35-R47</f>
        <v/>
      </c>
      <c r="S48" s="21">
        <f>S35-S47</f>
        <v/>
      </c>
      <c r="T48" s="21">
        <f>T35-T47</f>
        <v/>
      </c>
      <c r="U48" s="21">
        <f>U35-U47</f>
        <v/>
      </c>
      <c r="V48" s="21">
        <f>V35-V47</f>
        <v/>
      </c>
      <c r="W48" s="21">
        <f>W35-W47</f>
        <v/>
      </c>
      <c r="X48" s="21">
        <f>X35-X47</f>
        <v/>
      </c>
      <c r="Y48" s="21">
        <f>Y35-Y47</f>
        <v/>
      </c>
      <c r="Z48" s="21">
        <f>Z35-Z47</f>
        <v/>
      </c>
      <c r="AA48" s="21">
        <f>AA35-AA47</f>
        <v/>
      </c>
      <c r="AB48" s="21">
        <f>AB35-AB47</f>
        <v/>
      </c>
      <c r="AC48" s="21">
        <f>AC35-AC47</f>
        <v/>
      </c>
      <c r="AD48" s="21">
        <f>AD35-AD47</f>
        <v/>
      </c>
      <c r="AE48" s="21">
        <f>AE35-AE47</f>
        <v/>
      </c>
      <c r="AF48" s="21">
        <f>AF35-AF47</f>
        <v/>
      </c>
      <c r="AG48" s="21">
        <f>AG35-AG47</f>
        <v/>
      </c>
      <c r="AH48" s="21">
        <f>AH35-AH47</f>
        <v/>
      </c>
      <c r="AI48" s="21">
        <f>AI35-AI47</f>
        <v/>
      </c>
      <c r="AJ48" s="21">
        <f>AJ35-AJ47</f>
        <v/>
      </c>
      <c r="AK48" s="21">
        <f>AK35-AK47</f>
        <v/>
      </c>
      <c r="AL48" s="21">
        <f>AL35-AL47</f>
        <v/>
      </c>
    </row>
    <row r="49">
      <c r="A49" s="6" t="inlineStr">
        <is>
          <t>Налог на прибыль</t>
        </is>
      </c>
      <c r="B49" s="44">
        <f>SUM(C49:AL49)</f>
        <v/>
      </c>
      <c r="C49" s="21">
        <f>MAX(0,C48)*'Допущения'!$D$57</f>
        <v/>
      </c>
      <c r="D49" s="21">
        <f>MAX(0,D48)*'Допущения'!$D$57</f>
        <v/>
      </c>
      <c r="E49" s="21">
        <f>MAX(0,E48)*'Допущения'!$D$57</f>
        <v/>
      </c>
      <c r="F49" s="21">
        <f>MAX(0,F48)*'Допущения'!$D$57</f>
        <v/>
      </c>
      <c r="G49" s="21">
        <f>MAX(0,G48)*'Допущения'!$D$57</f>
        <v/>
      </c>
      <c r="H49" s="21">
        <f>MAX(0,H48)*'Допущения'!$D$57</f>
        <v/>
      </c>
      <c r="I49" s="21">
        <f>MAX(0,I48)*'Допущения'!$D$57</f>
        <v/>
      </c>
      <c r="J49" s="21">
        <f>MAX(0,J48)*'Допущения'!$D$57</f>
        <v/>
      </c>
      <c r="K49" s="21">
        <f>MAX(0,K48)*'Допущения'!$D$57</f>
        <v/>
      </c>
      <c r="L49" s="21">
        <f>MAX(0,L48)*'Допущения'!$D$57</f>
        <v/>
      </c>
      <c r="M49" s="21">
        <f>MAX(0,M48)*'Допущения'!$D$57</f>
        <v/>
      </c>
      <c r="N49" s="21">
        <f>MAX(0,N48)*'Допущения'!$D$57</f>
        <v/>
      </c>
      <c r="O49" s="21">
        <f>MAX(0,O48)*'Допущения'!$D$57</f>
        <v/>
      </c>
      <c r="P49" s="21">
        <f>MAX(0,P48)*'Допущения'!$D$57</f>
        <v/>
      </c>
      <c r="Q49" s="21">
        <f>MAX(0,Q48)*'Допущения'!$D$57</f>
        <v/>
      </c>
      <c r="R49" s="21">
        <f>MAX(0,R48)*'Допущения'!$D$57</f>
        <v/>
      </c>
      <c r="S49" s="21">
        <f>MAX(0,S48)*'Допущения'!$D$57</f>
        <v/>
      </c>
      <c r="T49" s="21">
        <f>MAX(0,T48)*'Допущения'!$D$57</f>
        <v/>
      </c>
      <c r="U49" s="21">
        <f>MAX(0,U48)*'Допущения'!$D$57</f>
        <v/>
      </c>
      <c r="V49" s="21">
        <f>MAX(0,V48)*'Допущения'!$D$57</f>
        <v/>
      </c>
      <c r="W49" s="21">
        <f>MAX(0,W48)*'Допущения'!$D$57</f>
        <v/>
      </c>
      <c r="X49" s="21">
        <f>MAX(0,X48)*'Допущения'!$D$57</f>
        <v/>
      </c>
      <c r="Y49" s="21">
        <f>MAX(0,Y48)*'Допущения'!$D$57</f>
        <v/>
      </c>
      <c r="Z49" s="21">
        <f>MAX(0,Z48)*'Допущения'!$D$57</f>
        <v/>
      </c>
      <c r="AA49" s="21">
        <f>MAX(0,AA48)*'Допущения'!$D$57</f>
        <v/>
      </c>
      <c r="AB49" s="21">
        <f>MAX(0,AB48)*'Допущения'!$D$57</f>
        <v/>
      </c>
      <c r="AC49" s="21">
        <f>MAX(0,AC48)*'Допущения'!$D$57</f>
        <v/>
      </c>
      <c r="AD49" s="21">
        <f>MAX(0,AD48)*'Допущения'!$D$57</f>
        <v/>
      </c>
      <c r="AE49" s="21">
        <f>MAX(0,AE48)*'Допущения'!$D$57</f>
        <v/>
      </c>
      <c r="AF49" s="21">
        <f>MAX(0,AF48)*'Допущения'!$D$57</f>
        <v/>
      </c>
      <c r="AG49" s="21">
        <f>MAX(0,AG48)*'Допущения'!$D$57</f>
        <v/>
      </c>
      <c r="AH49" s="21">
        <f>MAX(0,AH48)*'Допущения'!$D$57</f>
        <v/>
      </c>
      <c r="AI49" s="21">
        <f>MAX(0,AI48)*'Допущения'!$D$57</f>
        <v/>
      </c>
      <c r="AJ49" s="21">
        <f>MAX(0,AJ48)*'Допущения'!$D$57</f>
        <v/>
      </c>
      <c r="AK49" s="21">
        <f>MAX(0,AK48)*'Допущения'!$D$57</f>
        <v/>
      </c>
      <c r="AL49" s="21">
        <f>MAX(0,AL48)*'Допущения'!$D$57</f>
        <v/>
      </c>
    </row>
    <row r="50">
      <c r="A50" s="6" t="inlineStr">
        <is>
          <t>Операционный денежный поток</t>
        </is>
      </c>
      <c r="B50" s="44">
        <f>SUM(C50:AL50)</f>
        <v/>
      </c>
      <c r="C50" s="21">
        <f>C48-C49</f>
        <v/>
      </c>
      <c r="D50" s="21">
        <f>D48-D49</f>
        <v/>
      </c>
      <c r="E50" s="21">
        <f>E48-E49</f>
        <v/>
      </c>
      <c r="F50" s="21">
        <f>F48-F49</f>
        <v/>
      </c>
      <c r="G50" s="21">
        <f>G48-G49</f>
        <v/>
      </c>
      <c r="H50" s="21">
        <f>H48-H49</f>
        <v/>
      </c>
      <c r="I50" s="21">
        <f>I48-I49</f>
        <v/>
      </c>
      <c r="J50" s="21">
        <f>J48-J49</f>
        <v/>
      </c>
      <c r="K50" s="21">
        <f>K48-K49</f>
        <v/>
      </c>
      <c r="L50" s="21">
        <f>L48-L49</f>
        <v/>
      </c>
      <c r="M50" s="21">
        <f>M48-M49</f>
        <v/>
      </c>
      <c r="N50" s="21">
        <f>N48-N49</f>
        <v/>
      </c>
      <c r="O50" s="21">
        <f>O48-O49</f>
        <v/>
      </c>
      <c r="P50" s="21">
        <f>P48-P49</f>
        <v/>
      </c>
      <c r="Q50" s="21">
        <f>Q48-Q49</f>
        <v/>
      </c>
      <c r="R50" s="21">
        <f>R48-R49</f>
        <v/>
      </c>
      <c r="S50" s="21">
        <f>S48-S49</f>
        <v/>
      </c>
      <c r="T50" s="21">
        <f>T48-T49</f>
        <v/>
      </c>
      <c r="U50" s="21">
        <f>U48-U49</f>
        <v/>
      </c>
      <c r="V50" s="21">
        <f>V48-V49</f>
        <v/>
      </c>
      <c r="W50" s="21">
        <f>W48-W49</f>
        <v/>
      </c>
      <c r="X50" s="21">
        <f>X48-X49</f>
        <v/>
      </c>
      <c r="Y50" s="21">
        <f>Y48-Y49</f>
        <v/>
      </c>
      <c r="Z50" s="21">
        <f>Z48-Z49</f>
        <v/>
      </c>
      <c r="AA50" s="21">
        <f>AA48-AA49</f>
        <v/>
      </c>
      <c r="AB50" s="21">
        <f>AB48-AB49</f>
        <v/>
      </c>
      <c r="AC50" s="21">
        <f>AC48-AC49</f>
        <v/>
      </c>
      <c r="AD50" s="21">
        <f>AD48-AD49</f>
        <v/>
      </c>
      <c r="AE50" s="21">
        <f>AE48-AE49</f>
        <v/>
      </c>
      <c r="AF50" s="21">
        <f>AF48-AF49</f>
        <v/>
      </c>
      <c r="AG50" s="21">
        <f>AG48-AG49</f>
        <v/>
      </c>
      <c r="AH50" s="21">
        <f>AH48-AH49</f>
        <v/>
      </c>
      <c r="AI50" s="21">
        <f>AI48-AI49</f>
        <v/>
      </c>
      <c r="AJ50" s="21">
        <f>AJ48-AJ49</f>
        <v/>
      </c>
      <c r="AK50" s="21">
        <f>AK48-AK49</f>
        <v/>
      </c>
      <c r="AL50" s="21">
        <f>AL48-AL49</f>
        <v/>
      </c>
    </row>
    <row r="51">
      <c r="A51" s="6" t="inlineStr">
        <is>
          <t>Накопленный операционный поток</t>
        </is>
      </c>
      <c r="B51" s="44">
        <f>MIN(C51:AL51)</f>
        <v/>
      </c>
      <c r="C51" s="21">
        <f>0+C50</f>
        <v/>
      </c>
      <c r="D51" s="21">
        <f>C51+D50</f>
        <v/>
      </c>
      <c r="E51" s="21">
        <f>D51+E50</f>
        <v/>
      </c>
      <c r="F51" s="21">
        <f>E51+F50</f>
        <v/>
      </c>
      <c r="G51" s="21">
        <f>F51+G50</f>
        <v/>
      </c>
      <c r="H51" s="21">
        <f>G51+H50</f>
        <v/>
      </c>
      <c r="I51" s="21">
        <f>H51+I50</f>
        <v/>
      </c>
      <c r="J51" s="21">
        <f>I51+J50</f>
        <v/>
      </c>
      <c r="K51" s="21">
        <f>J51+K50</f>
        <v/>
      </c>
      <c r="L51" s="21">
        <f>K51+L50</f>
        <v/>
      </c>
      <c r="M51" s="21">
        <f>L51+M50</f>
        <v/>
      </c>
      <c r="N51" s="21">
        <f>M51+N50</f>
        <v/>
      </c>
      <c r="O51" s="21">
        <f>N51+O50</f>
        <v/>
      </c>
      <c r="P51" s="21">
        <f>O51+P50</f>
        <v/>
      </c>
      <c r="Q51" s="21">
        <f>P51+Q50</f>
        <v/>
      </c>
      <c r="R51" s="21">
        <f>Q51+R50</f>
        <v/>
      </c>
      <c r="S51" s="21">
        <f>R51+S50</f>
        <v/>
      </c>
      <c r="T51" s="21">
        <f>S51+T50</f>
        <v/>
      </c>
      <c r="U51" s="21">
        <f>T51+U50</f>
        <v/>
      </c>
      <c r="V51" s="21">
        <f>U51+V50</f>
        <v/>
      </c>
      <c r="W51" s="21">
        <f>V51+W50</f>
        <v/>
      </c>
      <c r="X51" s="21">
        <f>W51+X50</f>
        <v/>
      </c>
      <c r="Y51" s="21">
        <f>X51+Y50</f>
        <v/>
      </c>
      <c r="Z51" s="21">
        <f>Y51+Z50</f>
        <v/>
      </c>
      <c r="AA51" s="21">
        <f>Z51+AA50</f>
        <v/>
      </c>
      <c r="AB51" s="21">
        <f>AA51+AB50</f>
        <v/>
      </c>
      <c r="AC51" s="21">
        <f>AB51+AC50</f>
        <v/>
      </c>
      <c r="AD51" s="21">
        <f>AC51+AD50</f>
        <v/>
      </c>
      <c r="AE51" s="21">
        <f>AD51+AE50</f>
        <v/>
      </c>
      <c r="AF51" s="21">
        <f>AE51+AF50</f>
        <v/>
      </c>
      <c r="AG51" s="21">
        <f>AF51+AG50</f>
        <v/>
      </c>
      <c r="AH51" s="21">
        <f>AG51+AH50</f>
        <v/>
      </c>
      <c r="AI51" s="21">
        <f>AH51+AI50</f>
        <v/>
      </c>
      <c r="AJ51" s="21">
        <f>AI51+AJ50</f>
        <v/>
      </c>
      <c r="AK51" s="21">
        <f>AJ51+AK50</f>
        <v/>
      </c>
      <c r="AL51" s="21">
        <f>AK51+AL50</f>
        <v/>
      </c>
    </row>
    <row r="52">
      <c r="A52" s="4" t="inlineStr">
        <is>
          <t>ВЛОЖЕНИЯ И КАССА, $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</row>
    <row r="53">
      <c r="A53" s="6" t="inlineStr">
        <is>
          <t>Вложения партнёра (выбранный вариант)</t>
        </is>
      </c>
      <c r="B53" s="44">
        <f>SUM(C53:AL53)</f>
        <v/>
      </c>
      <c r="C53" s="21">
        <f>(IF(C6=1,INDEX('Допущения'!$C$104:$C$106,'Допущения'!$D$103)*'Допущения'!$D$107,0)+IF(C6='Допущения'!$D$9,INDEX('Допущения'!$C$104:$C$106,'Допущения'!$D$103)*(1-'Допущения'!$D$107),0))/'Допущения'!$D$7</f>
        <v/>
      </c>
      <c r="D53" s="21">
        <f>(IF(D6=1,INDEX('Допущения'!$C$104:$C$106,'Допущения'!$D$103)*'Допущения'!$D$107,0)+IF(D6='Допущения'!$D$9,INDEX('Допущения'!$C$104:$C$106,'Допущения'!$D$103)*(1-'Допущения'!$D$107),0))/'Допущения'!$D$7</f>
        <v/>
      </c>
      <c r="E53" s="21">
        <f>(IF(E6=1,INDEX('Допущения'!$C$104:$C$106,'Допущения'!$D$103)*'Допущения'!$D$107,0)+IF(E6='Допущения'!$D$9,INDEX('Допущения'!$C$104:$C$106,'Допущения'!$D$103)*(1-'Допущения'!$D$107),0))/'Допущения'!$D$7</f>
        <v/>
      </c>
      <c r="F53" s="21">
        <f>(IF(F6=1,INDEX('Допущения'!$C$104:$C$106,'Допущения'!$D$103)*'Допущения'!$D$107,0)+IF(F6='Допущения'!$D$9,INDEX('Допущения'!$C$104:$C$106,'Допущения'!$D$103)*(1-'Допущения'!$D$107),0))/'Допущения'!$D$7</f>
        <v/>
      </c>
      <c r="G53" s="21">
        <f>(IF(G6=1,INDEX('Допущения'!$C$104:$C$106,'Допущения'!$D$103)*'Допущения'!$D$107,0)+IF(G6='Допущения'!$D$9,INDEX('Допущения'!$C$104:$C$106,'Допущения'!$D$103)*(1-'Допущения'!$D$107),0))/'Допущения'!$D$7</f>
        <v/>
      </c>
      <c r="H53" s="21">
        <f>(IF(H6=1,INDEX('Допущения'!$C$104:$C$106,'Допущения'!$D$103)*'Допущения'!$D$107,0)+IF(H6='Допущения'!$D$9,INDEX('Допущения'!$C$104:$C$106,'Допущения'!$D$103)*(1-'Допущения'!$D$107),0))/'Допущения'!$D$7</f>
        <v/>
      </c>
      <c r="I53" s="21">
        <f>(IF(I6=1,INDEX('Допущения'!$C$104:$C$106,'Допущения'!$D$103)*'Допущения'!$D$107,0)+IF(I6='Допущения'!$D$9,INDEX('Допущения'!$C$104:$C$106,'Допущения'!$D$103)*(1-'Допущения'!$D$107),0))/'Допущения'!$D$7</f>
        <v/>
      </c>
      <c r="J53" s="21">
        <f>(IF(J6=1,INDEX('Допущения'!$C$104:$C$106,'Допущения'!$D$103)*'Допущения'!$D$107,0)+IF(J6='Допущения'!$D$9,INDEX('Допущения'!$C$104:$C$106,'Допущения'!$D$103)*(1-'Допущения'!$D$107),0))/'Допущения'!$D$7</f>
        <v/>
      </c>
      <c r="K53" s="21">
        <f>(IF(K6=1,INDEX('Допущения'!$C$104:$C$106,'Допущения'!$D$103)*'Допущения'!$D$107,0)+IF(K6='Допущения'!$D$9,INDEX('Допущения'!$C$104:$C$106,'Допущения'!$D$103)*(1-'Допущения'!$D$107),0))/'Допущения'!$D$7</f>
        <v/>
      </c>
      <c r="L53" s="21">
        <f>(IF(L6=1,INDEX('Допущения'!$C$104:$C$106,'Допущения'!$D$103)*'Допущения'!$D$107,0)+IF(L6='Допущения'!$D$9,INDEX('Допущения'!$C$104:$C$106,'Допущения'!$D$103)*(1-'Допущения'!$D$107),0))/'Допущения'!$D$7</f>
        <v/>
      </c>
      <c r="M53" s="21">
        <f>(IF(M6=1,INDEX('Допущения'!$C$104:$C$106,'Допущения'!$D$103)*'Допущения'!$D$107,0)+IF(M6='Допущения'!$D$9,INDEX('Допущения'!$C$104:$C$106,'Допущения'!$D$103)*(1-'Допущения'!$D$107),0))/'Допущения'!$D$7</f>
        <v/>
      </c>
      <c r="N53" s="21">
        <f>(IF(N6=1,INDEX('Допущения'!$C$104:$C$106,'Допущения'!$D$103)*'Допущения'!$D$107,0)+IF(N6='Допущения'!$D$9,INDEX('Допущения'!$C$104:$C$106,'Допущения'!$D$103)*(1-'Допущения'!$D$107),0))/'Допущения'!$D$7</f>
        <v/>
      </c>
      <c r="O53" s="21">
        <f>(IF(O6=1,INDEX('Допущения'!$C$104:$C$106,'Допущения'!$D$103)*'Допущения'!$D$107,0)+IF(O6='Допущения'!$D$9,INDEX('Допущения'!$C$104:$C$106,'Допущения'!$D$103)*(1-'Допущения'!$D$107),0))/'Допущения'!$D$7</f>
        <v/>
      </c>
      <c r="P53" s="21">
        <f>(IF(P6=1,INDEX('Допущения'!$C$104:$C$106,'Допущения'!$D$103)*'Допущения'!$D$107,0)+IF(P6='Допущения'!$D$9,INDEX('Допущения'!$C$104:$C$106,'Допущения'!$D$103)*(1-'Допущения'!$D$107),0))/'Допущения'!$D$7</f>
        <v/>
      </c>
      <c r="Q53" s="21">
        <f>(IF(Q6=1,INDEX('Допущения'!$C$104:$C$106,'Допущения'!$D$103)*'Допущения'!$D$107,0)+IF(Q6='Допущения'!$D$9,INDEX('Допущения'!$C$104:$C$106,'Допущения'!$D$103)*(1-'Допущения'!$D$107),0))/'Допущения'!$D$7</f>
        <v/>
      </c>
      <c r="R53" s="21">
        <f>(IF(R6=1,INDEX('Допущения'!$C$104:$C$106,'Допущения'!$D$103)*'Допущения'!$D$107,0)+IF(R6='Допущения'!$D$9,INDEX('Допущения'!$C$104:$C$106,'Допущения'!$D$103)*(1-'Допущения'!$D$107),0))/'Допущения'!$D$7</f>
        <v/>
      </c>
      <c r="S53" s="21">
        <f>(IF(S6=1,INDEX('Допущения'!$C$104:$C$106,'Допущения'!$D$103)*'Допущения'!$D$107,0)+IF(S6='Допущения'!$D$9,INDEX('Допущения'!$C$104:$C$106,'Допущения'!$D$103)*(1-'Допущения'!$D$107),0))/'Допущения'!$D$7</f>
        <v/>
      </c>
      <c r="T53" s="21">
        <f>(IF(T6=1,INDEX('Допущения'!$C$104:$C$106,'Допущения'!$D$103)*'Допущения'!$D$107,0)+IF(T6='Допущения'!$D$9,INDEX('Допущения'!$C$104:$C$106,'Допущения'!$D$103)*(1-'Допущения'!$D$107),0))/'Допущения'!$D$7</f>
        <v/>
      </c>
      <c r="U53" s="21">
        <f>(IF(U6=1,INDEX('Допущения'!$C$104:$C$106,'Допущения'!$D$103)*'Допущения'!$D$107,0)+IF(U6='Допущения'!$D$9,INDEX('Допущения'!$C$104:$C$106,'Допущения'!$D$103)*(1-'Допущения'!$D$107),0))/'Допущения'!$D$7</f>
        <v/>
      </c>
      <c r="V53" s="21">
        <f>(IF(V6=1,INDEX('Допущения'!$C$104:$C$106,'Допущения'!$D$103)*'Допущения'!$D$107,0)+IF(V6='Допущения'!$D$9,INDEX('Допущения'!$C$104:$C$106,'Допущения'!$D$103)*(1-'Допущения'!$D$107),0))/'Допущения'!$D$7</f>
        <v/>
      </c>
      <c r="W53" s="21">
        <f>(IF(W6=1,INDEX('Допущения'!$C$104:$C$106,'Допущения'!$D$103)*'Допущения'!$D$107,0)+IF(W6='Допущения'!$D$9,INDEX('Допущения'!$C$104:$C$106,'Допущения'!$D$103)*(1-'Допущения'!$D$107),0))/'Допущения'!$D$7</f>
        <v/>
      </c>
      <c r="X53" s="21">
        <f>(IF(X6=1,INDEX('Допущения'!$C$104:$C$106,'Допущения'!$D$103)*'Допущения'!$D$107,0)+IF(X6='Допущения'!$D$9,INDEX('Допущения'!$C$104:$C$106,'Допущения'!$D$103)*(1-'Допущения'!$D$107),0))/'Допущения'!$D$7</f>
        <v/>
      </c>
      <c r="Y53" s="21">
        <f>(IF(Y6=1,INDEX('Допущения'!$C$104:$C$106,'Допущения'!$D$103)*'Допущения'!$D$107,0)+IF(Y6='Допущения'!$D$9,INDEX('Допущения'!$C$104:$C$106,'Допущения'!$D$103)*(1-'Допущения'!$D$107),0))/'Допущения'!$D$7</f>
        <v/>
      </c>
      <c r="Z53" s="21">
        <f>(IF(Z6=1,INDEX('Допущения'!$C$104:$C$106,'Допущения'!$D$103)*'Допущения'!$D$107,0)+IF(Z6='Допущения'!$D$9,INDEX('Допущения'!$C$104:$C$106,'Допущения'!$D$103)*(1-'Допущения'!$D$107),0))/'Допущения'!$D$7</f>
        <v/>
      </c>
      <c r="AA53" s="21">
        <f>(IF(AA6=1,INDEX('Допущения'!$C$104:$C$106,'Допущения'!$D$103)*'Допущения'!$D$107,0)+IF(AA6='Допущения'!$D$9,INDEX('Допущения'!$C$104:$C$106,'Допущения'!$D$103)*(1-'Допущения'!$D$107),0))/'Допущения'!$D$7</f>
        <v/>
      </c>
      <c r="AB53" s="21">
        <f>(IF(AB6=1,INDEX('Допущения'!$C$104:$C$106,'Допущения'!$D$103)*'Допущения'!$D$107,0)+IF(AB6='Допущения'!$D$9,INDEX('Допущения'!$C$104:$C$106,'Допущения'!$D$103)*(1-'Допущения'!$D$107),0))/'Допущения'!$D$7</f>
        <v/>
      </c>
      <c r="AC53" s="21">
        <f>(IF(AC6=1,INDEX('Допущения'!$C$104:$C$106,'Допущения'!$D$103)*'Допущения'!$D$107,0)+IF(AC6='Допущения'!$D$9,INDEX('Допущения'!$C$104:$C$106,'Допущения'!$D$103)*(1-'Допущения'!$D$107),0))/'Допущения'!$D$7</f>
        <v/>
      </c>
      <c r="AD53" s="21">
        <f>(IF(AD6=1,INDEX('Допущения'!$C$104:$C$106,'Допущения'!$D$103)*'Допущения'!$D$107,0)+IF(AD6='Допущения'!$D$9,INDEX('Допущения'!$C$104:$C$106,'Допущения'!$D$103)*(1-'Допущения'!$D$107),0))/'Допущения'!$D$7</f>
        <v/>
      </c>
      <c r="AE53" s="21">
        <f>(IF(AE6=1,INDEX('Допущения'!$C$104:$C$106,'Допущения'!$D$103)*'Допущения'!$D$107,0)+IF(AE6='Допущения'!$D$9,INDEX('Допущения'!$C$104:$C$106,'Допущения'!$D$103)*(1-'Допущения'!$D$107),0))/'Допущения'!$D$7</f>
        <v/>
      </c>
      <c r="AF53" s="21">
        <f>(IF(AF6=1,INDEX('Допущения'!$C$104:$C$106,'Допущения'!$D$103)*'Допущения'!$D$107,0)+IF(AF6='Допущения'!$D$9,INDEX('Допущения'!$C$104:$C$106,'Допущения'!$D$103)*(1-'Допущения'!$D$107),0))/'Допущения'!$D$7</f>
        <v/>
      </c>
      <c r="AG53" s="21">
        <f>(IF(AG6=1,INDEX('Допущения'!$C$104:$C$106,'Допущения'!$D$103)*'Допущения'!$D$107,0)+IF(AG6='Допущения'!$D$9,INDEX('Допущения'!$C$104:$C$106,'Допущения'!$D$103)*(1-'Допущения'!$D$107),0))/'Допущения'!$D$7</f>
        <v/>
      </c>
      <c r="AH53" s="21">
        <f>(IF(AH6=1,INDEX('Допущения'!$C$104:$C$106,'Допущения'!$D$103)*'Допущения'!$D$107,0)+IF(AH6='Допущения'!$D$9,INDEX('Допущения'!$C$104:$C$106,'Допущения'!$D$103)*(1-'Допущения'!$D$107),0))/'Допущения'!$D$7</f>
        <v/>
      </c>
      <c r="AI53" s="21">
        <f>(IF(AI6=1,INDEX('Допущения'!$C$104:$C$106,'Допущения'!$D$103)*'Допущения'!$D$107,0)+IF(AI6='Допущения'!$D$9,INDEX('Допущения'!$C$104:$C$106,'Допущения'!$D$103)*(1-'Допущения'!$D$107),0))/'Допущения'!$D$7</f>
        <v/>
      </c>
      <c r="AJ53" s="21">
        <f>(IF(AJ6=1,INDEX('Допущения'!$C$104:$C$106,'Допущения'!$D$103)*'Допущения'!$D$107,0)+IF(AJ6='Допущения'!$D$9,INDEX('Допущения'!$C$104:$C$106,'Допущения'!$D$103)*(1-'Допущения'!$D$107),0))/'Допущения'!$D$7</f>
        <v/>
      </c>
      <c r="AK53" s="21">
        <f>(IF(AK6=1,INDEX('Допущения'!$C$104:$C$106,'Допущения'!$D$103)*'Допущения'!$D$107,0)+IF(AK6='Допущения'!$D$9,INDEX('Допущения'!$C$104:$C$106,'Допущения'!$D$103)*(1-'Допущения'!$D$107),0))/'Допущения'!$D$7</f>
        <v/>
      </c>
      <c r="AL53" s="21">
        <f>(IF(AL6=1,INDEX('Допущения'!$C$104:$C$106,'Допущения'!$D$103)*'Допущения'!$D$107,0)+IF(AL6='Допущения'!$D$9,INDEX('Допущения'!$C$104:$C$106,'Допущения'!$D$103)*(1-'Допущения'!$D$107),0))/'Допущения'!$D$7</f>
        <v/>
      </c>
    </row>
    <row r="54">
      <c r="A54" s="6" t="inlineStr">
        <is>
          <t>Мои вложения (выбранный вариант)</t>
        </is>
      </c>
      <c r="B54" s="44">
        <f>SUM(C54:AL54)</f>
        <v/>
      </c>
      <c r="C54" s="21">
        <f>(IF(C6=1,MIN(INDEX('Допущения'!$D$104:$D$106,'Допущения'!$D$103),'Допущения'!$D$108),0)+IF(AND(C6&gt;=2,C6&lt;=4),MAX(0,INDEX('Допущения'!$D$104:$D$106,'Допущения'!$D$103)-'Допущения'!$D$108)/3,0))/'Допущения'!$D$7</f>
        <v/>
      </c>
      <c r="D54" s="21">
        <f>(IF(D6=1,MIN(INDEX('Допущения'!$D$104:$D$106,'Допущения'!$D$103),'Допущения'!$D$108),0)+IF(AND(D6&gt;=2,D6&lt;=4),MAX(0,INDEX('Допущения'!$D$104:$D$106,'Допущения'!$D$103)-'Допущения'!$D$108)/3,0))/'Допущения'!$D$7</f>
        <v/>
      </c>
      <c r="E54" s="21">
        <f>(IF(E6=1,MIN(INDEX('Допущения'!$D$104:$D$106,'Допущения'!$D$103),'Допущения'!$D$108),0)+IF(AND(E6&gt;=2,E6&lt;=4),MAX(0,INDEX('Допущения'!$D$104:$D$106,'Допущения'!$D$103)-'Допущения'!$D$108)/3,0))/'Допущения'!$D$7</f>
        <v/>
      </c>
      <c r="F54" s="21">
        <f>(IF(F6=1,MIN(INDEX('Допущения'!$D$104:$D$106,'Допущения'!$D$103),'Допущения'!$D$108),0)+IF(AND(F6&gt;=2,F6&lt;=4),MAX(0,INDEX('Допущения'!$D$104:$D$106,'Допущения'!$D$103)-'Допущения'!$D$108)/3,0))/'Допущения'!$D$7</f>
        <v/>
      </c>
      <c r="G54" s="21">
        <f>(IF(G6=1,MIN(INDEX('Допущения'!$D$104:$D$106,'Допущения'!$D$103),'Допущения'!$D$108),0)+IF(AND(G6&gt;=2,G6&lt;=4),MAX(0,INDEX('Допущения'!$D$104:$D$106,'Допущения'!$D$103)-'Допущения'!$D$108)/3,0))/'Допущения'!$D$7</f>
        <v/>
      </c>
      <c r="H54" s="21">
        <f>(IF(H6=1,MIN(INDEX('Допущения'!$D$104:$D$106,'Допущения'!$D$103),'Допущения'!$D$108),0)+IF(AND(H6&gt;=2,H6&lt;=4),MAX(0,INDEX('Допущения'!$D$104:$D$106,'Допущения'!$D$103)-'Допущения'!$D$108)/3,0))/'Допущения'!$D$7</f>
        <v/>
      </c>
      <c r="I54" s="21">
        <f>(IF(I6=1,MIN(INDEX('Допущения'!$D$104:$D$106,'Допущения'!$D$103),'Допущения'!$D$108),0)+IF(AND(I6&gt;=2,I6&lt;=4),MAX(0,INDEX('Допущения'!$D$104:$D$106,'Допущения'!$D$103)-'Допущения'!$D$108)/3,0))/'Допущения'!$D$7</f>
        <v/>
      </c>
      <c r="J54" s="21">
        <f>(IF(J6=1,MIN(INDEX('Допущения'!$D$104:$D$106,'Допущения'!$D$103),'Допущения'!$D$108),0)+IF(AND(J6&gt;=2,J6&lt;=4),MAX(0,INDEX('Допущения'!$D$104:$D$106,'Допущения'!$D$103)-'Допущения'!$D$108)/3,0))/'Допущения'!$D$7</f>
        <v/>
      </c>
      <c r="K54" s="21">
        <f>(IF(K6=1,MIN(INDEX('Допущения'!$D$104:$D$106,'Допущения'!$D$103),'Допущения'!$D$108),0)+IF(AND(K6&gt;=2,K6&lt;=4),MAX(0,INDEX('Допущения'!$D$104:$D$106,'Допущения'!$D$103)-'Допущения'!$D$108)/3,0))/'Допущения'!$D$7</f>
        <v/>
      </c>
      <c r="L54" s="21">
        <f>(IF(L6=1,MIN(INDEX('Допущения'!$D$104:$D$106,'Допущения'!$D$103),'Допущения'!$D$108),0)+IF(AND(L6&gt;=2,L6&lt;=4),MAX(0,INDEX('Допущения'!$D$104:$D$106,'Допущения'!$D$103)-'Допущения'!$D$108)/3,0))/'Допущения'!$D$7</f>
        <v/>
      </c>
      <c r="M54" s="21">
        <f>(IF(M6=1,MIN(INDEX('Допущения'!$D$104:$D$106,'Допущения'!$D$103),'Допущения'!$D$108),0)+IF(AND(M6&gt;=2,M6&lt;=4),MAX(0,INDEX('Допущения'!$D$104:$D$106,'Допущения'!$D$103)-'Допущения'!$D$108)/3,0))/'Допущения'!$D$7</f>
        <v/>
      </c>
      <c r="N54" s="21">
        <f>(IF(N6=1,MIN(INDEX('Допущения'!$D$104:$D$106,'Допущения'!$D$103),'Допущения'!$D$108),0)+IF(AND(N6&gt;=2,N6&lt;=4),MAX(0,INDEX('Допущения'!$D$104:$D$106,'Допущения'!$D$103)-'Допущения'!$D$108)/3,0))/'Допущения'!$D$7</f>
        <v/>
      </c>
      <c r="O54" s="21">
        <f>(IF(O6=1,MIN(INDEX('Допущения'!$D$104:$D$106,'Допущения'!$D$103),'Допущения'!$D$108),0)+IF(AND(O6&gt;=2,O6&lt;=4),MAX(0,INDEX('Допущения'!$D$104:$D$106,'Допущения'!$D$103)-'Допущения'!$D$108)/3,0))/'Допущения'!$D$7</f>
        <v/>
      </c>
      <c r="P54" s="21">
        <f>(IF(P6=1,MIN(INDEX('Допущения'!$D$104:$D$106,'Допущения'!$D$103),'Допущения'!$D$108),0)+IF(AND(P6&gt;=2,P6&lt;=4),MAX(0,INDEX('Допущения'!$D$104:$D$106,'Допущения'!$D$103)-'Допущения'!$D$108)/3,0))/'Допущения'!$D$7</f>
        <v/>
      </c>
      <c r="Q54" s="21">
        <f>(IF(Q6=1,MIN(INDEX('Допущения'!$D$104:$D$106,'Допущения'!$D$103),'Допущения'!$D$108),0)+IF(AND(Q6&gt;=2,Q6&lt;=4),MAX(0,INDEX('Допущения'!$D$104:$D$106,'Допущения'!$D$103)-'Допущения'!$D$108)/3,0))/'Допущения'!$D$7</f>
        <v/>
      </c>
      <c r="R54" s="21">
        <f>(IF(R6=1,MIN(INDEX('Допущения'!$D$104:$D$106,'Допущения'!$D$103),'Допущения'!$D$108),0)+IF(AND(R6&gt;=2,R6&lt;=4),MAX(0,INDEX('Допущения'!$D$104:$D$106,'Допущения'!$D$103)-'Допущения'!$D$108)/3,0))/'Допущения'!$D$7</f>
        <v/>
      </c>
      <c r="S54" s="21">
        <f>(IF(S6=1,MIN(INDEX('Допущения'!$D$104:$D$106,'Допущения'!$D$103),'Допущения'!$D$108),0)+IF(AND(S6&gt;=2,S6&lt;=4),MAX(0,INDEX('Допущения'!$D$104:$D$106,'Допущения'!$D$103)-'Допущения'!$D$108)/3,0))/'Допущения'!$D$7</f>
        <v/>
      </c>
      <c r="T54" s="21">
        <f>(IF(T6=1,MIN(INDEX('Допущения'!$D$104:$D$106,'Допущения'!$D$103),'Допущения'!$D$108),0)+IF(AND(T6&gt;=2,T6&lt;=4),MAX(0,INDEX('Допущения'!$D$104:$D$106,'Допущения'!$D$103)-'Допущения'!$D$108)/3,0))/'Допущения'!$D$7</f>
        <v/>
      </c>
      <c r="U54" s="21">
        <f>(IF(U6=1,MIN(INDEX('Допущения'!$D$104:$D$106,'Допущения'!$D$103),'Допущения'!$D$108),0)+IF(AND(U6&gt;=2,U6&lt;=4),MAX(0,INDEX('Допущения'!$D$104:$D$106,'Допущения'!$D$103)-'Допущения'!$D$108)/3,0))/'Допущения'!$D$7</f>
        <v/>
      </c>
      <c r="V54" s="21">
        <f>(IF(V6=1,MIN(INDEX('Допущения'!$D$104:$D$106,'Допущения'!$D$103),'Допущения'!$D$108),0)+IF(AND(V6&gt;=2,V6&lt;=4),MAX(0,INDEX('Допущения'!$D$104:$D$106,'Допущения'!$D$103)-'Допущения'!$D$108)/3,0))/'Допущения'!$D$7</f>
        <v/>
      </c>
      <c r="W54" s="21">
        <f>(IF(W6=1,MIN(INDEX('Допущения'!$D$104:$D$106,'Допущения'!$D$103),'Допущения'!$D$108),0)+IF(AND(W6&gt;=2,W6&lt;=4),MAX(0,INDEX('Допущения'!$D$104:$D$106,'Допущения'!$D$103)-'Допущения'!$D$108)/3,0))/'Допущения'!$D$7</f>
        <v/>
      </c>
      <c r="X54" s="21">
        <f>(IF(X6=1,MIN(INDEX('Допущения'!$D$104:$D$106,'Допущения'!$D$103),'Допущения'!$D$108),0)+IF(AND(X6&gt;=2,X6&lt;=4),MAX(0,INDEX('Допущения'!$D$104:$D$106,'Допущения'!$D$103)-'Допущения'!$D$108)/3,0))/'Допущения'!$D$7</f>
        <v/>
      </c>
      <c r="Y54" s="21">
        <f>(IF(Y6=1,MIN(INDEX('Допущения'!$D$104:$D$106,'Допущения'!$D$103),'Допущения'!$D$108),0)+IF(AND(Y6&gt;=2,Y6&lt;=4),MAX(0,INDEX('Допущения'!$D$104:$D$106,'Допущения'!$D$103)-'Допущения'!$D$108)/3,0))/'Допущения'!$D$7</f>
        <v/>
      </c>
      <c r="Z54" s="21">
        <f>(IF(Z6=1,MIN(INDEX('Допущения'!$D$104:$D$106,'Допущения'!$D$103),'Допущения'!$D$108),0)+IF(AND(Z6&gt;=2,Z6&lt;=4),MAX(0,INDEX('Допущения'!$D$104:$D$106,'Допущения'!$D$103)-'Допущения'!$D$108)/3,0))/'Допущения'!$D$7</f>
        <v/>
      </c>
      <c r="AA54" s="21">
        <f>(IF(AA6=1,MIN(INDEX('Допущения'!$D$104:$D$106,'Допущения'!$D$103),'Допущения'!$D$108),0)+IF(AND(AA6&gt;=2,AA6&lt;=4),MAX(0,INDEX('Допущения'!$D$104:$D$106,'Допущения'!$D$103)-'Допущения'!$D$108)/3,0))/'Допущения'!$D$7</f>
        <v/>
      </c>
      <c r="AB54" s="21">
        <f>(IF(AB6=1,MIN(INDEX('Допущения'!$D$104:$D$106,'Допущения'!$D$103),'Допущения'!$D$108),0)+IF(AND(AB6&gt;=2,AB6&lt;=4),MAX(0,INDEX('Допущения'!$D$104:$D$106,'Допущения'!$D$103)-'Допущения'!$D$108)/3,0))/'Допущения'!$D$7</f>
        <v/>
      </c>
      <c r="AC54" s="21">
        <f>(IF(AC6=1,MIN(INDEX('Допущения'!$D$104:$D$106,'Допущения'!$D$103),'Допущения'!$D$108),0)+IF(AND(AC6&gt;=2,AC6&lt;=4),MAX(0,INDEX('Допущения'!$D$104:$D$106,'Допущения'!$D$103)-'Допущения'!$D$108)/3,0))/'Допущения'!$D$7</f>
        <v/>
      </c>
      <c r="AD54" s="21">
        <f>(IF(AD6=1,MIN(INDEX('Допущения'!$D$104:$D$106,'Допущения'!$D$103),'Допущения'!$D$108),0)+IF(AND(AD6&gt;=2,AD6&lt;=4),MAX(0,INDEX('Допущения'!$D$104:$D$106,'Допущения'!$D$103)-'Допущения'!$D$108)/3,0))/'Допущения'!$D$7</f>
        <v/>
      </c>
      <c r="AE54" s="21">
        <f>(IF(AE6=1,MIN(INDEX('Допущения'!$D$104:$D$106,'Допущения'!$D$103),'Допущения'!$D$108),0)+IF(AND(AE6&gt;=2,AE6&lt;=4),MAX(0,INDEX('Допущения'!$D$104:$D$106,'Допущения'!$D$103)-'Допущения'!$D$108)/3,0))/'Допущения'!$D$7</f>
        <v/>
      </c>
      <c r="AF54" s="21">
        <f>(IF(AF6=1,MIN(INDEX('Допущения'!$D$104:$D$106,'Допущения'!$D$103),'Допущения'!$D$108),0)+IF(AND(AF6&gt;=2,AF6&lt;=4),MAX(0,INDEX('Допущения'!$D$104:$D$106,'Допущения'!$D$103)-'Допущения'!$D$108)/3,0))/'Допущения'!$D$7</f>
        <v/>
      </c>
      <c r="AG54" s="21">
        <f>(IF(AG6=1,MIN(INDEX('Допущения'!$D$104:$D$106,'Допущения'!$D$103),'Допущения'!$D$108),0)+IF(AND(AG6&gt;=2,AG6&lt;=4),MAX(0,INDEX('Допущения'!$D$104:$D$106,'Допущения'!$D$103)-'Допущения'!$D$108)/3,0))/'Допущения'!$D$7</f>
        <v/>
      </c>
      <c r="AH54" s="21">
        <f>(IF(AH6=1,MIN(INDEX('Допущения'!$D$104:$D$106,'Допущения'!$D$103),'Допущения'!$D$108),0)+IF(AND(AH6&gt;=2,AH6&lt;=4),MAX(0,INDEX('Допущения'!$D$104:$D$106,'Допущения'!$D$103)-'Допущения'!$D$108)/3,0))/'Допущения'!$D$7</f>
        <v/>
      </c>
      <c r="AI54" s="21">
        <f>(IF(AI6=1,MIN(INDEX('Допущения'!$D$104:$D$106,'Допущения'!$D$103),'Допущения'!$D$108),0)+IF(AND(AI6&gt;=2,AI6&lt;=4),MAX(0,INDEX('Допущения'!$D$104:$D$106,'Допущения'!$D$103)-'Допущения'!$D$108)/3,0))/'Допущения'!$D$7</f>
        <v/>
      </c>
      <c r="AJ54" s="21">
        <f>(IF(AJ6=1,MIN(INDEX('Допущения'!$D$104:$D$106,'Допущения'!$D$103),'Допущения'!$D$108),0)+IF(AND(AJ6&gt;=2,AJ6&lt;=4),MAX(0,INDEX('Допущения'!$D$104:$D$106,'Допущения'!$D$103)-'Допущения'!$D$108)/3,0))/'Допущения'!$D$7</f>
        <v/>
      </c>
      <c r="AK54" s="21">
        <f>(IF(AK6=1,MIN(INDEX('Допущения'!$D$104:$D$106,'Допущения'!$D$103),'Допущения'!$D$108),0)+IF(AND(AK6&gt;=2,AK6&lt;=4),MAX(0,INDEX('Допущения'!$D$104:$D$106,'Допущения'!$D$103)-'Допущения'!$D$108)/3,0))/'Допущения'!$D$7</f>
        <v/>
      </c>
      <c r="AL54" s="21">
        <f>(IF(AL6=1,MIN(INDEX('Допущения'!$D$104:$D$106,'Допущения'!$D$103),'Допущения'!$D$108),0)+IF(AND(AL6&gt;=2,AL6&lt;=4),MAX(0,INDEX('Допущения'!$D$104:$D$106,'Допущения'!$D$103)-'Допущения'!$D$108)/3,0))/'Допущения'!$D$7</f>
        <v/>
      </c>
    </row>
    <row r="55">
      <c r="A55" s="6" t="inlineStr">
        <is>
          <t>Касса на конец месяца</t>
        </is>
      </c>
      <c r="B55" s="44">
        <f>MIN(C55:AL55)</f>
        <v/>
      </c>
      <c r="C55" s="21">
        <f>0+C50+C53+C54</f>
        <v/>
      </c>
      <c r="D55" s="21">
        <f>C55+D50+D53+D54</f>
        <v/>
      </c>
      <c r="E55" s="21">
        <f>D55+E50+E53+E54</f>
        <v/>
      </c>
      <c r="F55" s="21">
        <f>E55+F50+F53+F54</f>
        <v/>
      </c>
      <c r="G55" s="21">
        <f>F55+G50+G53+G54</f>
        <v/>
      </c>
      <c r="H55" s="21">
        <f>G55+H50+H53+H54</f>
        <v/>
      </c>
      <c r="I55" s="21">
        <f>H55+I50+I53+I54</f>
        <v/>
      </c>
      <c r="J55" s="21">
        <f>I55+J50+J53+J54</f>
        <v/>
      </c>
      <c r="K55" s="21">
        <f>J55+K50+K53+K54</f>
        <v/>
      </c>
      <c r="L55" s="21">
        <f>K55+L50+L53+L54</f>
        <v/>
      </c>
      <c r="M55" s="21">
        <f>L55+M50+M53+M54</f>
        <v/>
      </c>
      <c r="N55" s="21">
        <f>M55+N50+N53+N54</f>
        <v/>
      </c>
      <c r="O55" s="21">
        <f>N55+O50+O53+O54</f>
        <v/>
      </c>
      <c r="P55" s="21">
        <f>O55+P50+P53+P54</f>
        <v/>
      </c>
      <c r="Q55" s="21">
        <f>P55+Q50+Q53+Q54</f>
        <v/>
      </c>
      <c r="R55" s="21">
        <f>Q55+R50+R53+R54</f>
        <v/>
      </c>
      <c r="S55" s="21">
        <f>R55+S50+S53+S54</f>
        <v/>
      </c>
      <c r="T55" s="21">
        <f>S55+T50+T53+T54</f>
        <v/>
      </c>
      <c r="U55" s="21">
        <f>T55+U50+U53+U54</f>
        <v/>
      </c>
      <c r="V55" s="21">
        <f>U55+V50+V53+V54</f>
        <v/>
      </c>
      <c r="W55" s="21">
        <f>V55+W50+W53+W54</f>
        <v/>
      </c>
      <c r="X55" s="21">
        <f>W55+X50+X53+X54</f>
        <v/>
      </c>
      <c r="Y55" s="21">
        <f>X55+Y50+Y53+Y54</f>
        <v/>
      </c>
      <c r="Z55" s="21">
        <f>Y55+Z50+Z53+Z54</f>
        <v/>
      </c>
      <c r="AA55" s="21">
        <f>Z55+AA50+AA53+AA54</f>
        <v/>
      </c>
      <c r="AB55" s="21">
        <f>AA55+AB50+AB53+AB54</f>
        <v/>
      </c>
      <c r="AC55" s="21">
        <f>AB55+AC50+AC53+AC54</f>
        <v/>
      </c>
      <c r="AD55" s="21">
        <f>AC55+AD50+AD53+AD54</f>
        <v/>
      </c>
      <c r="AE55" s="21">
        <f>AD55+AE50+AE53+AE54</f>
        <v/>
      </c>
      <c r="AF55" s="21">
        <f>AE55+AF50+AF53+AF54</f>
        <v/>
      </c>
      <c r="AG55" s="21">
        <f>AF55+AG50+AG53+AG54</f>
        <v/>
      </c>
      <c r="AH55" s="21">
        <f>AG55+AH50+AH53+AH54</f>
        <v/>
      </c>
      <c r="AI55" s="21">
        <f>AH55+AI50+AI53+AI54</f>
        <v/>
      </c>
      <c r="AJ55" s="21">
        <f>AI55+AJ50+AJ53+AJ54</f>
        <v/>
      </c>
      <c r="AK55" s="21">
        <f>AJ55+AK50+AK53+AK54</f>
        <v/>
      </c>
      <c r="AL55" s="21">
        <f>AK55+AL50+AL53+AL54</f>
        <v/>
      </c>
    </row>
    <row r="56">
      <c r="A56" s="6" t="inlineStr">
        <is>
          <t>Касса при варианте 1 «Минимум»</t>
        </is>
      </c>
      <c r="B56" s="44">
        <f>MIN(C56:AL56)</f>
        <v/>
      </c>
      <c r="C56" s="21">
        <f>C51+('Допущения'!$C$104*'Допущения'!$D$107+IF(C6&gt;='Допущения'!$D$9,'Допущения'!$C$104*(1-'Допущения'!$D$107),0)+MIN('Допущения'!$D$104,'Допущения'!$D$108)+MAX(0,'Допущения'!$D$104-'Допущения'!$D$108)*MIN(MAX(C6-1,0),3)/3)/'Допущения'!$D$7</f>
        <v/>
      </c>
      <c r="D56" s="21">
        <f>D51+('Допущения'!$C$104*'Допущения'!$D$107+IF(D6&gt;='Допущения'!$D$9,'Допущения'!$C$104*(1-'Допущения'!$D$107),0)+MIN('Допущения'!$D$104,'Допущения'!$D$108)+MAX(0,'Допущения'!$D$104-'Допущения'!$D$108)*MIN(MAX(D6-1,0),3)/3)/'Допущения'!$D$7</f>
        <v/>
      </c>
      <c r="E56" s="21">
        <f>E51+('Допущения'!$C$104*'Допущения'!$D$107+IF(E6&gt;='Допущения'!$D$9,'Допущения'!$C$104*(1-'Допущения'!$D$107),0)+MIN('Допущения'!$D$104,'Допущения'!$D$108)+MAX(0,'Допущения'!$D$104-'Допущения'!$D$108)*MIN(MAX(E6-1,0),3)/3)/'Допущения'!$D$7</f>
        <v/>
      </c>
      <c r="F56" s="21">
        <f>F51+('Допущения'!$C$104*'Допущения'!$D$107+IF(F6&gt;='Допущения'!$D$9,'Допущения'!$C$104*(1-'Допущения'!$D$107),0)+MIN('Допущения'!$D$104,'Допущения'!$D$108)+MAX(0,'Допущения'!$D$104-'Допущения'!$D$108)*MIN(MAX(F6-1,0),3)/3)/'Допущения'!$D$7</f>
        <v/>
      </c>
      <c r="G56" s="21">
        <f>G51+('Допущения'!$C$104*'Допущения'!$D$107+IF(G6&gt;='Допущения'!$D$9,'Допущения'!$C$104*(1-'Допущения'!$D$107),0)+MIN('Допущения'!$D$104,'Допущения'!$D$108)+MAX(0,'Допущения'!$D$104-'Допущения'!$D$108)*MIN(MAX(G6-1,0),3)/3)/'Допущения'!$D$7</f>
        <v/>
      </c>
      <c r="H56" s="21">
        <f>H51+('Допущения'!$C$104*'Допущения'!$D$107+IF(H6&gt;='Допущения'!$D$9,'Допущения'!$C$104*(1-'Допущения'!$D$107),0)+MIN('Допущения'!$D$104,'Допущения'!$D$108)+MAX(0,'Допущения'!$D$104-'Допущения'!$D$108)*MIN(MAX(H6-1,0),3)/3)/'Допущения'!$D$7</f>
        <v/>
      </c>
      <c r="I56" s="21">
        <f>I51+('Допущения'!$C$104*'Допущения'!$D$107+IF(I6&gt;='Допущения'!$D$9,'Допущения'!$C$104*(1-'Допущения'!$D$107),0)+MIN('Допущения'!$D$104,'Допущения'!$D$108)+MAX(0,'Допущения'!$D$104-'Допущения'!$D$108)*MIN(MAX(I6-1,0),3)/3)/'Допущения'!$D$7</f>
        <v/>
      </c>
      <c r="J56" s="21">
        <f>J51+('Допущения'!$C$104*'Допущения'!$D$107+IF(J6&gt;='Допущения'!$D$9,'Допущения'!$C$104*(1-'Допущения'!$D$107),0)+MIN('Допущения'!$D$104,'Допущения'!$D$108)+MAX(0,'Допущения'!$D$104-'Допущения'!$D$108)*MIN(MAX(J6-1,0),3)/3)/'Допущения'!$D$7</f>
        <v/>
      </c>
      <c r="K56" s="21">
        <f>K51+('Допущения'!$C$104*'Допущения'!$D$107+IF(K6&gt;='Допущения'!$D$9,'Допущения'!$C$104*(1-'Допущения'!$D$107),0)+MIN('Допущения'!$D$104,'Допущения'!$D$108)+MAX(0,'Допущения'!$D$104-'Допущения'!$D$108)*MIN(MAX(K6-1,0),3)/3)/'Допущения'!$D$7</f>
        <v/>
      </c>
      <c r="L56" s="21">
        <f>L51+('Допущения'!$C$104*'Допущения'!$D$107+IF(L6&gt;='Допущения'!$D$9,'Допущения'!$C$104*(1-'Допущения'!$D$107),0)+MIN('Допущения'!$D$104,'Допущения'!$D$108)+MAX(0,'Допущения'!$D$104-'Допущения'!$D$108)*MIN(MAX(L6-1,0),3)/3)/'Допущения'!$D$7</f>
        <v/>
      </c>
      <c r="M56" s="21">
        <f>M51+('Допущения'!$C$104*'Допущения'!$D$107+IF(M6&gt;='Допущения'!$D$9,'Допущения'!$C$104*(1-'Допущения'!$D$107),0)+MIN('Допущения'!$D$104,'Допущения'!$D$108)+MAX(0,'Допущения'!$D$104-'Допущения'!$D$108)*MIN(MAX(M6-1,0),3)/3)/'Допущения'!$D$7</f>
        <v/>
      </c>
      <c r="N56" s="21">
        <f>N51+('Допущения'!$C$104*'Допущения'!$D$107+IF(N6&gt;='Допущения'!$D$9,'Допущения'!$C$104*(1-'Допущения'!$D$107),0)+MIN('Допущения'!$D$104,'Допущения'!$D$108)+MAX(0,'Допущения'!$D$104-'Допущения'!$D$108)*MIN(MAX(N6-1,0),3)/3)/'Допущения'!$D$7</f>
        <v/>
      </c>
      <c r="O56" s="21">
        <f>O51+('Допущения'!$C$104*'Допущения'!$D$107+IF(O6&gt;='Допущения'!$D$9,'Допущения'!$C$104*(1-'Допущения'!$D$107),0)+MIN('Допущения'!$D$104,'Допущения'!$D$108)+MAX(0,'Допущения'!$D$104-'Допущения'!$D$108)*MIN(MAX(O6-1,0),3)/3)/'Допущения'!$D$7</f>
        <v/>
      </c>
      <c r="P56" s="21">
        <f>P51+('Допущения'!$C$104*'Допущения'!$D$107+IF(P6&gt;='Допущения'!$D$9,'Допущения'!$C$104*(1-'Допущения'!$D$107),0)+MIN('Допущения'!$D$104,'Допущения'!$D$108)+MAX(0,'Допущения'!$D$104-'Допущения'!$D$108)*MIN(MAX(P6-1,0),3)/3)/'Допущения'!$D$7</f>
        <v/>
      </c>
      <c r="Q56" s="21">
        <f>Q51+('Допущения'!$C$104*'Допущения'!$D$107+IF(Q6&gt;='Допущения'!$D$9,'Допущения'!$C$104*(1-'Допущения'!$D$107),0)+MIN('Допущения'!$D$104,'Допущения'!$D$108)+MAX(0,'Допущения'!$D$104-'Допущения'!$D$108)*MIN(MAX(Q6-1,0),3)/3)/'Допущения'!$D$7</f>
        <v/>
      </c>
      <c r="R56" s="21">
        <f>R51+('Допущения'!$C$104*'Допущения'!$D$107+IF(R6&gt;='Допущения'!$D$9,'Допущения'!$C$104*(1-'Допущения'!$D$107),0)+MIN('Допущения'!$D$104,'Допущения'!$D$108)+MAX(0,'Допущения'!$D$104-'Допущения'!$D$108)*MIN(MAX(R6-1,0),3)/3)/'Допущения'!$D$7</f>
        <v/>
      </c>
      <c r="S56" s="21">
        <f>S51+('Допущения'!$C$104*'Допущения'!$D$107+IF(S6&gt;='Допущения'!$D$9,'Допущения'!$C$104*(1-'Допущения'!$D$107),0)+MIN('Допущения'!$D$104,'Допущения'!$D$108)+MAX(0,'Допущения'!$D$104-'Допущения'!$D$108)*MIN(MAX(S6-1,0),3)/3)/'Допущения'!$D$7</f>
        <v/>
      </c>
      <c r="T56" s="21">
        <f>T51+('Допущения'!$C$104*'Допущения'!$D$107+IF(T6&gt;='Допущения'!$D$9,'Допущения'!$C$104*(1-'Допущения'!$D$107),0)+MIN('Допущения'!$D$104,'Допущения'!$D$108)+MAX(0,'Допущения'!$D$104-'Допущения'!$D$108)*MIN(MAX(T6-1,0),3)/3)/'Допущения'!$D$7</f>
        <v/>
      </c>
      <c r="U56" s="21">
        <f>U51+('Допущения'!$C$104*'Допущения'!$D$107+IF(U6&gt;='Допущения'!$D$9,'Допущения'!$C$104*(1-'Допущения'!$D$107),0)+MIN('Допущения'!$D$104,'Допущения'!$D$108)+MAX(0,'Допущения'!$D$104-'Допущения'!$D$108)*MIN(MAX(U6-1,0),3)/3)/'Допущения'!$D$7</f>
        <v/>
      </c>
      <c r="V56" s="21">
        <f>V51+('Допущения'!$C$104*'Допущения'!$D$107+IF(V6&gt;='Допущения'!$D$9,'Допущения'!$C$104*(1-'Допущения'!$D$107),0)+MIN('Допущения'!$D$104,'Допущения'!$D$108)+MAX(0,'Допущения'!$D$104-'Допущения'!$D$108)*MIN(MAX(V6-1,0),3)/3)/'Допущения'!$D$7</f>
        <v/>
      </c>
      <c r="W56" s="21">
        <f>W51+('Допущения'!$C$104*'Допущения'!$D$107+IF(W6&gt;='Допущения'!$D$9,'Допущения'!$C$104*(1-'Допущения'!$D$107),0)+MIN('Допущения'!$D$104,'Допущения'!$D$108)+MAX(0,'Допущения'!$D$104-'Допущения'!$D$108)*MIN(MAX(W6-1,0),3)/3)/'Допущения'!$D$7</f>
        <v/>
      </c>
      <c r="X56" s="21">
        <f>X51+('Допущения'!$C$104*'Допущения'!$D$107+IF(X6&gt;='Допущения'!$D$9,'Допущения'!$C$104*(1-'Допущения'!$D$107),0)+MIN('Допущения'!$D$104,'Допущения'!$D$108)+MAX(0,'Допущения'!$D$104-'Допущения'!$D$108)*MIN(MAX(X6-1,0),3)/3)/'Допущения'!$D$7</f>
        <v/>
      </c>
      <c r="Y56" s="21">
        <f>Y51+('Допущения'!$C$104*'Допущения'!$D$107+IF(Y6&gt;='Допущения'!$D$9,'Допущения'!$C$104*(1-'Допущения'!$D$107),0)+MIN('Допущения'!$D$104,'Допущения'!$D$108)+MAX(0,'Допущения'!$D$104-'Допущения'!$D$108)*MIN(MAX(Y6-1,0),3)/3)/'Допущения'!$D$7</f>
        <v/>
      </c>
      <c r="Z56" s="21">
        <f>Z51+('Допущения'!$C$104*'Допущения'!$D$107+IF(Z6&gt;='Допущения'!$D$9,'Допущения'!$C$104*(1-'Допущения'!$D$107),0)+MIN('Допущения'!$D$104,'Допущения'!$D$108)+MAX(0,'Допущения'!$D$104-'Допущения'!$D$108)*MIN(MAX(Z6-1,0),3)/3)/'Допущения'!$D$7</f>
        <v/>
      </c>
      <c r="AA56" s="21">
        <f>AA51+('Допущения'!$C$104*'Допущения'!$D$107+IF(AA6&gt;='Допущения'!$D$9,'Допущения'!$C$104*(1-'Допущения'!$D$107),0)+MIN('Допущения'!$D$104,'Допущения'!$D$108)+MAX(0,'Допущения'!$D$104-'Допущения'!$D$108)*MIN(MAX(AA6-1,0),3)/3)/'Допущения'!$D$7</f>
        <v/>
      </c>
      <c r="AB56" s="21">
        <f>AB51+('Допущения'!$C$104*'Допущения'!$D$107+IF(AB6&gt;='Допущения'!$D$9,'Допущения'!$C$104*(1-'Допущения'!$D$107),0)+MIN('Допущения'!$D$104,'Допущения'!$D$108)+MAX(0,'Допущения'!$D$104-'Допущения'!$D$108)*MIN(MAX(AB6-1,0),3)/3)/'Допущения'!$D$7</f>
        <v/>
      </c>
      <c r="AC56" s="21">
        <f>AC51+('Допущения'!$C$104*'Допущения'!$D$107+IF(AC6&gt;='Допущения'!$D$9,'Допущения'!$C$104*(1-'Допущения'!$D$107),0)+MIN('Допущения'!$D$104,'Допущения'!$D$108)+MAX(0,'Допущения'!$D$104-'Допущения'!$D$108)*MIN(MAX(AC6-1,0),3)/3)/'Допущения'!$D$7</f>
        <v/>
      </c>
      <c r="AD56" s="21">
        <f>AD51+('Допущения'!$C$104*'Допущения'!$D$107+IF(AD6&gt;='Допущения'!$D$9,'Допущения'!$C$104*(1-'Допущения'!$D$107),0)+MIN('Допущения'!$D$104,'Допущения'!$D$108)+MAX(0,'Допущения'!$D$104-'Допущения'!$D$108)*MIN(MAX(AD6-1,0),3)/3)/'Допущения'!$D$7</f>
        <v/>
      </c>
      <c r="AE56" s="21">
        <f>AE51+('Допущения'!$C$104*'Допущения'!$D$107+IF(AE6&gt;='Допущения'!$D$9,'Допущения'!$C$104*(1-'Допущения'!$D$107),0)+MIN('Допущения'!$D$104,'Допущения'!$D$108)+MAX(0,'Допущения'!$D$104-'Допущения'!$D$108)*MIN(MAX(AE6-1,0),3)/3)/'Допущения'!$D$7</f>
        <v/>
      </c>
      <c r="AF56" s="21">
        <f>AF51+('Допущения'!$C$104*'Допущения'!$D$107+IF(AF6&gt;='Допущения'!$D$9,'Допущения'!$C$104*(1-'Допущения'!$D$107),0)+MIN('Допущения'!$D$104,'Допущения'!$D$108)+MAX(0,'Допущения'!$D$104-'Допущения'!$D$108)*MIN(MAX(AF6-1,0),3)/3)/'Допущения'!$D$7</f>
        <v/>
      </c>
      <c r="AG56" s="21">
        <f>AG51+('Допущения'!$C$104*'Допущения'!$D$107+IF(AG6&gt;='Допущения'!$D$9,'Допущения'!$C$104*(1-'Допущения'!$D$107),0)+MIN('Допущения'!$D$104,'Допущения'!$D$108)+MAX(0,'Допущения'!$D$104-'Допущения'!$D$108)*MIN(MAX(AG6-1,0),3)/3)/'Допущения'!$D$7</f>
        <v/>
      </c>
      <c r="AH56" s="21">
        <f>AH51+('Допущения'!$C$104*'Допущения'!$D$107+IF(AH6&gt;='Допущения'!$D$9,'Допущения'!$C$104*(1-'Допущения'!$D$107),0)+MIN('Допущения'!$D$104,'Допущения'!$D$108)+MAX(0,'Допущения'!$D$104-'Допущения'!$D$108)*MIN(MAX(AH6-1,0),3)/3)/'Допущения'!$D$7</f>
        <v/>
      </c>
      <c r="AI56" s="21">
        <f>AI51+('Допущения'!$C$104*'Допущения'!$D$107+IF(AI6&gt;='Допущения'!$D$9,'Допущения'!$C$104*(1-'Допущения'!$D$107),0)+MIN('Допущения'!$D$104,'Допущения'!$D$108)+MAX(0,'Допущения'!$D$104-'Допущения'!$D$108)*MIN(MAX(AI6-1,0),3)/3)/'Допущения'!$D$7</f>
        <v/>
      </c>
      <c r="AJ56" s="21">
        <f>AJ51+('Допущения'!$C$104*'Допущения'!$D$107+IF(AJ6&gt;='Допущения'!$D$9,'Допущения'!$C$104*(1-'Допущения'!$D$107),0)+MIN('Допущения'!$D$104,'Допущения'!$D$108)+MAX(0,'Допущения'!$D$104-'Допущения'!$D$108)*MIN(MAX(AJ6-1,0),3)/3)/'Допущения'!$D$7</f>
        <v/>
      </c>
      <c r="AK56" s="21">
        <f>AK51+('Допущения'!$C$104*'Допущения'!$D$107+IF(AK6&gt;='Допущения'!$D$9,'Допущения'!$C$104*(1-'Допущения'!$D$107),0)+MIN('Допущения'!$D$104,'Допущения'!$D$108)+MAX(0,'Допущения'!$D$104-'Допущения'!$D$108)*MIN(MAX(AK6-1,0),3)/3)/'Допущения'!$D$7</f>
        <v/>
      </c>
      <c r="AL56" s="21">
        <f>AL51+('Допущения'!$C$104*'Допущения'!$D$107+IF(AL6&gt;='Допущения'!$D$9,'Допущения'!$C$104*(1-'Допущения'!$D$107),0)+MIN('Допущения'!$D$104,'Допущения'!$D$108)+MAX(0,'Допущения'!$D$104-'Допущения'!$D$108)*MIN(MAX(AL6-1,0),3)/3)/'Допущения'!$D$7</f>
        <v/>
      </c>
    </row>
    <row r="57">
      <c r="A57" s="6" t="inlineStr">
        <is>
          <t>Касса при варианте 2 «Средний»</t>
        </is>
      </c>
      <c r="B57" s="44">
        <f>MIN(C57:AL57)</f>
        <v/>
      </c>
      <c r="C57" s="21">
        <f>C51+('Допущения'!$C$105*'Допущения'!$D$107+IF(C6&gt;='Допущения'!$D$9,'Допущения'!$C$105*(1-'Допущения'!$D$107),0)+MIN('Допущения'!$D$105,'Допущения'!$D$108)+MAX(0,'Допущения'!$D$105-'Допущения'!$D$108)*MIN(MAX(C6-1,0),3)/3)/'Допущения'!$D$7</f>
        <v/>
      </c>
      <c r="D57" s="21">
        <f>D51+('Допущения'!$C$105*'Допущения'!$D$107+IF(D6&gt;='Допущения'!$D$9,'Допущения'!$C$105*(1-'Допущения'!$D$107),0)+MIN('Допущения'!$D$105,'Допущения'!$D$108)+MAX(0,'Допущения'!$D$105-'Допущения'!$D$108)*MIN(MAX(D6-1,0),3)/3)/'Допущения'!$D$7</f>
        <v/>
      </c>
      <c r="E57" s="21">
        <f>E51+('Допущения'!$C$105*'Допущения'!$D$107+IF(E6&gt;='Допущения'!$D$9,'Допущения'!$C$105*(1-'Допущения'!$D$107),0)+MIN('Допущения'!$D$105,'Допущения'!$D$108)+MAX(0,'Допущения'!$D$105-'Допущения'!$D$108)*MIN(MAX(E6-1,0),3)/3)/'Допущения'!$D$7</f>
        <v/>
      </c>
      <c r="F57" s="21">
        <f>F51+('Допущения'!$C$105*'Допущения'!$D$107+IF(F6&gt;='Допущения'!$D$9,'Допущения'!$C$105*(1-'Допущения'!$D$107),0)+MIN('Допущения'!$D$105,'Допущения'!$D$108)+MAX(0,'Допущения'!$D$105-'Допущения'!$D$108)*MIN(MAX(F6-1,0),3)/3)/'Допущения'!$D$7</f>
        <v/>
      </c>
      <c r="G57" s="21">
        <f>G51+('Допущения'!$C$105*'Допущения'!$D$107+IF(G6&gt;='Допущения'!$D$9,'Допущения'!$C$105*(1-'Допущения'!$D$107),0)+MIN('Допущения'!$D$105,'Допущения'!$D$108)+MAX(0,'Допущения'!$D$105-'Допущения'!$D$108)*MIN(MAX(G6-1,0),3)/3)/'Допущения'!$D$7</f>
        <v/>
      </c>
      <c r="H57" s="21">
        <f>H51+('Допущения'!$C$105*'Допущения'!$D$107+IF(H6&gt;='Допущения'!$D$9,'Допущения'!$C$105*(1-'Допущения'!$D$107),0)+MIN('Допущения'!$D$105,'Допущения'!$D$108)+MAX(0,'Допущения'!$D$105-'Допущения'!$D$108)*MIN(MAX(H6-1,0),3)/3)/'Допущения'!$D$7</f>
        <v/>
      </c>
      <c r="I57" s="21">
        <f>I51+('Допущения'!$C$105*'Допущения'!$D$107+IF(I6&gt;='Допущения'!$D$9,'Допущения'!$C$105*(1-'Допущения'!$D$107),0)+MIN('Допущения'!$D$105,'Допущения'!$D$108)+MAX(0,'Допущения'!$D$105-'Допущения'!$D$108)*MIN(MAX(I6-1,0),3)/3)/'Допущения'!$D$7</f>
        <v/>
      </c>
      <c r="J57" s="21">
        <f>J51+('Допущения'!$C$105*'Допущения'!$D$107+IF(J6&gt;='Допущения'!$D$9,'Допущения'!$C$105*(1-'Допущения'!$D$107),0)+MIN('Допущения'!$D$105,'Допущения'!$D$108)+MAX(0,'Допущения'!$D$105-'Допущения'!$D$108)*MIN(MAX(J6-1,0),3)/3)/'Допущения'!$D$7</f>
        <v/>
      </c>
      <c r="K57" s="21">
        <f>K51+('Допущения'!$C$105*'Допущения'!$D$107+IF(K6&gt;='Допущения'!$D$9,'Допущения'!$C$105*(1-'Допущения'!$D$107),0)+MIN('Допущения'!$D$105,'Допущения'!$D$108)+MAX(0,'Допущения'!$D$105-'Допущения'!$D$108)*MIN(MAX(K6-1,0),3)/3)/'Допущения'!$D$7</f>
        <v/>
      </c>
      <c r="L57" s="21">
        <f>L51+('Допущения'!$C$105*'Допущения'!$D$107+IF(L6&gt;='Допущения'!$D$9,'Допущения'!$C$105*(1-'Допущения'!$D$107),0)+MIN('Допущения'!$D$105,'Допущения'!$D$108)+MAX(0,'Допущения'!$D$105-'Допущения'!$D$108)*MIN(MAX(L6-1,0),3)/3)/'Допущения'!$D$7</f>
        <v/>
      </c>
      <c r="M57" s="21">
        <f>M51+('Допущения'!$C$105*'Допущения'!$D$107+IF(M6&gt;='Допущения'!$D$9,'Допущения'!$C$105*(1-'Допущения'!$D$107),0)+MIN('Допущения'!$D$105,'Допущения'!$D$108)+MAX(0,'Допущения'!$D$105-'Допущения'!$D$108)*MIN(MAX(M6-1,0),3)/3)/'Допущения'!$D$7</f>
        <v/>
      </c>
      <c r="N57" s="21">
        <f>N51+('Допущения'!$C$105*'Допущения'!$D$107+IF(N6&gt;='Допущения'!$D$9,'Допущения'!$C$105*(1-'Допущения'!$D$107),0)+MIN('Допущения'!$D$105,'Допущения'!$D$108)+MAX(0,'Допущения'!$D$105-'Допущения'!$D$108)*MIN(MAX(N6-1,0),3)/3)/'Допущения'!$D$7</f>
        <v/>
      </c>
      <c r="O57" s="21">
        <f>O51+('Допущения'!$C$105*'Допущения'!$D$107+IF(O6&gt;='Допущения'!$D$9,'Допущения'!$C$105*(1-'Допущения'!$D$107),0)+MIN('Допущения'!$D$105,'Допущения'!$D$108)+MAX(0,'Допущения'!$D$105-'Допущения'!$D$108)*MIN(MAX(O6-1,0),3)/3)/'Допущения'!$D$7</f>
        <v/>
      </c>
      <c r="P57" s="21">
        <f>P51+('Допущения'!$C$105*'Допущения'!$D$107+IF(P6&gt;='Допущения'!$D$9,'Допущения'!$C$105*(1-'Допущения'!$D$107),0)+MIN('Допущения'!$D$105,'Допущения'!$D$108)+MAX(0,'Допущения'!$D$105-'Допущения'!$D$108)*MIN(MAX(P6-1,0),3)/3)/'Допущения'!$D$7</f>
        <v/>
      </c>
      <c r="Q57" s="21">
        <f>Q51+('Допущения'!$C$105*'Допущения'!$D$107+IF(Q6&gt;='Допущения'!$D$9,'Допущения'!$C$105*(1-'Допущения'!$D$107),0)+MIN('Допущения'!$D$105,'Допущения'!$D$108)+MAX(0,'Допущения'!$D$105-'Допущения'!$D$108)*MIN(MAX(Q6-1,0),3)/3)/'Допущения'!$D$7</f>
        <v/>
      </c>
      <c r="R57" s="21">
        <f>R51+('Допущения'!$C$105*'Допущения'!$D$107+IF(R6&gt;='Допущения'!$D$9,'Допущения'!$C$105*(1-'Допущения'!$D$107),0)+MIN('Допущения'!$D$105,'Допущения'!$D$108)+MAX(0,'Допущения'!$D$105-'Допущения'!$D$108)*MIN(MAX(R6-1,0),3)/3)/'Допущения'!$D$7</f>
        <v/>
      </c>
      <c r="S57" s="21">
        <f>S51+('Допущения'!$C$105*'Допущения'!$D$107+IF(S6&gt;='Допущения'!$D$9,'Допущения'!$C$105*(1-'Допущения'!$D$107),0)+MIN('Допущения'!$D$105,'Допущения'!$D$108)+MAX(0,'Допущения'!$D$105-'Допущения'!$D$108)*MIN(MAX(S6-1,0),3)/3)/'Допущения'!$D$7</f>
        <v/>
      </c>
      <c r="T57" s="21">
        <f>T51+('Допущения'!$C$105*'Допущения'!$D$107+IF(T6&gt;='Допущения'!$D$9,'Допущения'!$C$105*(1-'Допущения'!$D$107),0)+MIN('Допущения'!$D$105,'Допущения'!$D$108)+MAX(0,'Допущения'!$D$105-'Допущения'!$D$108)*MIN(MAX(T6-1,0),3)/3)/'Допущения'!$D$7</f>
        <v/>
      </c>
      <c r="U57" s="21">
        <f>U51+('Допущения'!$C$105*'Допущения'!$D$107+IF(U6&gt;='Допущения'!$D$9,'Допущения'!$C$105*(1-'Допущения'!$D$107),0)+MIN('Допущения'!$D$105,'Допущения'!$D$108)+MAX(0,'Допущения'!$D$105-'Допущения'!$D$108)*MIN(MAX(U6-1,0),3)/3)/'Допущения'!$D$7</f>
        <v/>
      </c>
      <c r="V57" s="21">
        <f>V51+('Допущения'!$C$105*'Допущения'!$D$107+IF(V6&gt;='Допущения'!$D$9,'Допущения'!$C$105*(1-'Допущения'!$D$107),0)+MIN('Допущения'!$D$105,'Допущения'!$D$108)+MAX(0,'Допущения'!$D$105-'Допущения'!$D$108)*MIN(MAX(V6-1,0),3)/3)/'Допущения'!$D$7</f>
        <v/>
      </c>
      <c r="W57" s="21">
        <f>W51+('Допущения'!$C$105*'Допущения'!$D$107+IF(W6&gt;='Допущения'!$D$9,'Допущения'!$C$105*(1-'Допущения'!$D$107),0)+MIN('Допущения'!$D$105,'Допущения'!$D$108)+MAX(0,'Допущения'!$D$105-'Допущения'!$D$108)*MIN(MAX(W6-1,0),3)/3)/'Допущения'!$D$7</f>
        <v/>
      </c>
      <c r="X57" s="21">
        <f>X51+('Допущения'!$C$105*'Допущения'!$D$107+IF(X6&gt;='Допущения'!$D$9,'Допущения'!$C$105*(1-'Допущения'!$D$107),0)+MIN('Допущения'!$D$105,'Допущения'!$D$108)+MAX(0,'Допущения'!$D$105-'Допущения'!$D$108)*MIN(MAX(X6-1,0),3)/3)/'Допущения'!$D$7</f>
        <v/>
      </c>
      <c r="Y57" s="21">
        <f>Y51+('Допущения'!$C$105*'Допущения'!$D$107+IF(Y6&gt;='Допущения'!$D$9,'Допущения'!$C$105*(1-'Допущения'!$D$107),0)+MIN('Допущения'!$D$105,'Допущения'!$D$108)+MAX(0,'Допущения'!$D$105-'Допущения'!$D$108)*MIN(MAX(Y6-1,0),3)/3)/'Допущения'!$D$7</f>
        <v/>
      </c>
      <c r="Z57" s="21">
        <f>Z51+('Допущения'!$C$105*'Допущения'!$D$107+IF(Z6&gt;='Допущения'!$D$9,'Допущения'!$C$105*(1-'Допущения'!$D$107),0)+MIN('Допущения'!$D$105,'Допущения'!$D$108)+MAX(0,'Допущения'!$D$105-'Допущения'!$D$108)*MIN(MAX(Z6-1,0),3)/3)/'Допущения'!$D$7</f>
        <v/>
      </c>
      <c r="AA57" s="21">
        <f>AA51+('Допущения'!$C$105*'Допущения'!$D$107+IF(AA6&gt;='Допущения'!$D$9,'Допущения'!$C$105*(1-'Допущения'!$D$107),0)+MIN('Допущения'!$D$105,'Допущения'!$D$108)+MAX(0,'Допущения'!$D$105-'Допущения'!$D$108)*MIN(MAX(AA6-1,0),3)/3)/'Допущения'!$D$7</f>
        <v/>
      </c>
      <c r="AB57" s="21">
        <f>AB51+('Допущения'!$C$105*'Допущения'!$D$107+IF(AB6&gt;='Допущения'!$D$9,'Допущения'!$C$105*(1-'Допущения'!$D$107),0)+MIN('Допущения'!$D$105,'Допущения'!$D$108)+MAX(0,'Допущения'!$D$105-'Допущения'!$D$108)*MIN(MAX(AB6-1,0),3)/3)/'Допущения'!$D$7</f>
        <v/>
      </c>
      <c r="AC57" s="21">
        <f>AC51+('Допущения'!$C$105*'Допущения'!$D$107+IF(AC6&gt;='Допущения'!$D$9,'Допущения'!$C$105*(1-'Допущения'!$D$107),0)+MIN('Допущения'!$D$105,'Допущения'!$D$108)+MAX(0,'Допущения'!$D$105-'Допущения'!$D$108)*MIN(MAX(AC6-1,0),3)/3)/'Допущения'!$D$7</f>
        <v/>
      </c>
      <c r="AD57" s="21">
        <f>AD51+('Допущения'!$C$105*'Допущения'!$D$107+IF(AD6&gt;='Допущения'!$D$9,'Допущения'!$C$105*(1-'Допущения'!$D$107),0)+MIN('Допущения'!$D$105,'Допущения'!$D$108)+MAX(0,'Допущения'!$D$105-'Допущения'!$D$108)*MIN(MAX(AD6-1,0),3)/3)/'Допущения'!$D$7</f>
        <v/>
      </c>
      <c r="AE57" s="21">
        <f>AE51+('Допущения'!$C$105*'Допущения'!$D$107+IF(AE6&gt;='Допущения'!$D$9,'Допущения'!$C$105*(1-'Допущения'!$D$107),0)+MIN('Допущения'!$D$105,'Допущения'!$D$108)+MAX(0,'Допущения'!$D$105-'Допущения'!$D$108)*MIN(MAX(AE6-1,0),3)/3)/'Допущения'!$D$7</f>
        <v/>
      </c>
      <c r="AF57" s="21">
        <f>AF51+('Допущения'!$C$105*'Допущения'!$D$107+IF(AF6&gt;='Допущения'!$D$9,'Допущения'!$C$105*(1-'Допущения'!$D$107),0)+MIN('Допущения'!$D$105,'Допущения'!$D$108)+MAX(0,'Допущения'!$D$105-'Допущения'!$D$108)*MIN(MAX(AF6-1,0),3)/3)/'Допущения'!$D$7</f>
        <v/>
      </c>
      <c r="AG57" s="21">
        <f>AG51+('Допущения'!$C$105*'Допущения'!$D$107+IF(AG6&gt;='Допущения'!$D$9,'Допущения'!$C$105*(1-'Допущения'!$D$107),0)+MIN('Допущения'!$D$105,'Допущения'!$D$108)+MAX(0,'Допущения'!$D$105-'Допущения'!$D$108)*MIN(MAX(AG6-1,0),3)/3)/'Допущения'!$D$7</f>
        <v/>
      </c>
      <c r="AH57" s="21">
        <f>AH51+('Допущения'!$C$105*'Допущения'!$D$107+IF(AH6&gt;='Допущения'!$D$9,'Допущения'!$C$105*(1-'Допущения'!$D$107),0)+MIN('Допущения'!$D$105,'Допущения'!$D$108)+MAX(0,'Допущения'!$D$105-'Допущения'!$D$108)*MIN(MAX(AH6-1,0),3)/3)/'Допущения'!$D$7</f>
        <v/>
      </c>
      <c r="AI57" s="21">
        <f>AI51+('Допущения'!$C$105*'Допущения'!$D$107+IF(AI6&gt;='Допущения'!$D$9,'Допущения'!$C$105*(1-'Допущения'!$D$107),0)+MIN('Допущения'!$D$105,'Допущения'!$D$108)+MAX(0,'Допущения'!$D$105-'Допущения'!$D$108)*MIN(MAX(AI6-1,0),3)/3)/'Допущения'!$D$7</f>
        <v/>
      </c>
      <c r="AJ57" s="21">
        <f>AJ51+('Допущения'!$C$105*'Допущения'!$D$107+IF(AJ6&gt;='Допущения'!$D$9,'Допущения'!$C$105*(1-'Допущения'!$D$107),0)+MIN('Допущения'!$D$105,'Допущения'!$D$108)+MAX(0,'Допущения'!$D$105-'Допущения'!$D$108)*MIN(MAX(AJ6-1,0),3)/3)/'Допущения'!$D$7</f>
        <v/>
      </c>
      <c r="AK57" s="21">
        <f>AK51+('Допущения'!$C$105*'Допущения'!$D$107+IF(AK6&gt;='Допущения'!$D$9,'Допущения'!$C$105*(1-'Допущения'!$D$107),0)+MIN('Допущения'!$D$105,'Допущения'!$D$108)+MAX(0,'Допущения'!$D$105-'Допущения'!$D$108)*MIN(MAX(AK6-1,0),3)/3)/'Допущения'!$D$7</f>
        <v/>
      </c>
      <c r="AL57" s="21">
        <f>AL51+('Допущения'!$C$105*'Допущения'!$D$107+IF(AL6&gt;='Допущения'!$D$9,'Допущения'!$C$105*(1-'Допущения'!$D$107),0)+MIN('Допущения'!$D$105,'Допущения'!$D$108)+MAX(0,'Допущения'!$D$105-'Допущения'!$D$108)*MIN(MAX(AL6-1,0),3)/3)/'Допущения'!$D$7</f>
        <v/>
      </c>
    </row>
    <row r="58">
      <c r="A58" s="6" t="inlineStr">
        <is>
          <t>Касса при варианте 3 «Максимум»</t>
        </is>
      </c>
      <c r="B58" s="44">
        <f>MIN(C58:AL58)</f>
        <v/>
      </c>
      <c r="C58" s="21">
        <f>C51+('Допущения'!$C$106*'Допущения'!$D$107+IF(C6&gt;='Допущения'!$D$9,'Допущения'!$C$106*(1-'Допущения'!$D$107),0)+MIN('Допущения'!$D$106,'Допущения'!$D$108)+MAX(0,'Допущения'!$D$106-'Допущения'!$D$108)*MIN(MAX(C6-1,0),3)/3)/'Допущения'!$D$7</f>
        <v/>
      </c>
      <c r="D58" s="21">
        <f>D51+('Допущения'!$C$106*'Допущения'!$D$107+IF(D6&gt;='Допущения'!$D$9,'Допущения'!$C$106*(1-'Допущения'!$D$107),0)+MIN('Допущения'!$D$106,'Допущения'!$D$108)+MAX(0,'Допущения'!$D$106-'Допущения'!$D$108)*MIN(MAX(D6-1,0),3)/3)/'Допущения'!$D$7</f>
        <v/>
      </c>
      <c r="E58" s="21">
        <f>E51+('Допущения'!$C$106*'Допущения'!$D$107+IF(E6&gt;='Допущения'!$D$9,'Допущения'!$C$106*(1-'Допущения'!$D$107),0)+MIN('Допущения'!$D$106,'Допущения'!$D$108)+MAX(0,'Допущения'!$D$106-'Допущения'!$D$108)*MIN(MAX(E6-1,0),3)/3)/'Допущения'!$D$7</f>
        <v/>
      </c>
      <c r="F58" s="21">
        <f>F51+('Допущения'!$C$106*'Допущения'!$D$107+IF(F6&gt;='Допущения'!$D$9,'Допущения'!$C$106*(1-'Допущения'!$D$107),0)+MIN('Допущения'!$D$106,'Допущения'!$D$108)+MAX(0,'Допущения'!$D$106-'Допущения'!$D$108)*MIN(MAX(F6-1,0),3)/3)/'Допущения'!$D$7</f>
        <v/>
      </c>
      <c r="G58" s="21">
        <f>G51+('Допущения'!$C$106*'Допущения'!$D$107+IF(G6&gt;='Допущения'!$D$9,'Допущения'!$C$106*(1-'Допущения'!$D$107),0)+MIN('Допущения'!$D$106,'Допущения'!$D$108)+MAX(0,'Допущения'!$D$106-'Допущения'!$D$108)*MIN(MAX(G6-1,0),3)/3)/'Допущения'!$D$7</f>
        <v/>
      </c>
      <c r="H58" s="21">
        <f>H51+('Допущения'!$C$106*'Допущения'!$D$107+IF(H6&gt;='Допущения'!$D$9,'Допущения'!$C$106*(1-'Допущения'!$D$107),0)+MIN('Допущения'!$D$106,'Допущения'!$D$108)+MAX(0,'Допущения'!$D$106-'Допущения'!$D$108)*MIN(MAX(H6-1,0),3)/3)/'Допущения'!$D$7</f>
        <v/>
      </c>
      <c r="I58" s="21">
        <f>I51+('Допущения'!$C$106*'Допущения'!$D$107+IF(I6&gt;='Допущения'!$D$9,'Допущения'!$C$106*(1-'Допущения'!$D$107),0)+MIN('Допущения'!$D$106,'Допущения'!$D$108)+MAX(0,'Допущения'!$D$106-'Допущения'!$D$108)*MIN(MAX(I6-1,0),3)/3)/'Допущения'!$D$7</f>
        <v/>
      </c>
      <c r="J58" s="21">
        <f>J51+('Допущения'!$C$106*'Допущения'!$D$107+IF(J6&gt;='Допущения'!$D$9,'Допущения'!$C$106*(1-'Допущения'!$D$107),0)+MIN('Допущения'!$D$106,'Допущения'!$D$108)+MAX(0,'Допущения'!$D$106-'Допущения'!$D$108)*MIN(MAX(J6-1,0),3)/3)/'Допущения'!$D$7</f>
        <v/>
      </c>
      <c r="K58" s="21">
        <f>K51+('Допущения'!$C$106*'Допущения'!$D$107+IF(K6&gt;='Допущения'!$D$9,'Допущения'!$C$106*(1-'Допущения'!$D$107),0)+MIN('Допущения'!$D$106,'Допущения'!$D$108)+MAX(0,'Допущения'!$D$106-'Допущения'!$D$108)*MIN(MAX(K6-1,0),3)/3)/'Допущения'!$D$7</f>
        <v/>
      </c>
      <c r="L58" s="21">
        <f>L51+('Допущения'!$C$106*'Допущения'!$D$107+IF(L6&gt;='Допущения'!$D$9,'Допущения'!$C$106*(1-'Допущения'!$D$107),0)+MIN('Допущения'!$D$106,'Допущения'!$D$108)+MAX(0,'Допущения'!$D$106-'Допущения'!$D$108)*MIN(MAX(L6-1,0),3)/3)/'Допущения'!$D$7</f>
        <v/>
      </c>
      <c r="M58" s="21">
        <f>M51+('Допущения'!$C$106*'Допущения'!$D$107+IF(M6&gt;='Допущения'!$D$9,'Допущения'!$C$106*(1-'Допущения'!$D$107),0)+MIN('Допущения'!$D$106,'Допущения'!$D$108)+MAX(0,'Допущения'!$D$106-'Допущения'!$D$108)*MIN(MAX(M6-1,0),3)/3)/'Допущения'!$D$7</f>
        <v/>
      </c>
      <c r="N58" s="21">
        <f>N51+('Допущения'!$C$106*'Допущения'!$D$107+IF(N6&gt;='Допущения'!$D$9,'Допущения'!$C$106*(1-'Допущения'!$D$107),0)+MIN('Допущения'!$D$106,'Допущения'!$D$108)+MAX(0,'Допущения'!$D$106-'Допущения'!$D$108)*MIN(MAX(N6-1,0),3)/3)/'Допущения'!$D$7</f>
        <v/>
      </c>
      <c r="O58" s="21">
        <f>O51+('Допущения'!$C$106*'Допущения'!$D$107+IF(O6&gt;='Допущения'!$D$9,'Допущения'!$C$106*(1-'Допущения'!$D$107),0)+MIN('Допущения'!$D$106,'Допущения'!$D$108)+MAX(0,'Допущения'!$D$106-'Допущения'!$D$108)*MIN(MAX(O6-1,0),3)/3)/'Допущения'!$D$7</f>
        <v/>
      </c>
      <c r="P58" s="21">
        <f>P51+('Допущения'!$C$106*'Допущения'!$D$107+IF(P6&gt;='Допущения'!$D$9,'Допущения'!$C$106*(1-'Допущения'!$D$107),0)+MIN('Допущения'!$D$106,'Допущения'!$D$108)+MAX(0,'Допущения'!$D$106-'Допущения'!$D$108)*MIN(MAX(P6-1,0),3)/3)/'Допущения'!$D$7</f>
        <v/>
      </c>
      <c r="Q58" s="21">
        <f>Q51+('Допущения'!$C$106*'Допущения'!$D$107+IF(Q6&gt;='Допущения'!$D$9,'Допущения'!$C$106*(1-'Допущения'!$D$107),0)+MIN('Допущения'!$D$106,'Допущения'!$D$108)+MAX(0,'Допущения'!$D$106-'Допущения'!$D$108)*MIN(MAX(Q6-1,0),3)/3)/'Допущения'!$D$7</f>
        <v/>
      </c>
      <c r="R58" s="21">
        <f>R51+('Допущения'!$C$106*'Допущения'!$D$107+IF(R6&gt;='Допущения'!$D$9,'Допущения'!$C$106*(1-'Допущения'!$D$107),0)+MIN('Допущения'!$D$106,'Допущения'!$D$108)+MAX(0,'Допущения'!$D$106-'Допущения'!$D$108)*MIN(MAX(R6-1,0),3)/3)/'Допущения'!$D$7</f>
        <v/>
      </c>
      <c r="S58" s="21">
        <f>S51+('Допущения'!$C$106*'Допущения'!$D$107+IF(S6&gt;='Допущения'!$D$9,'Допущения'!$C$106*(1-'Допущения'!$D$107),0)+MIN('Допущения'!$D$106,'Допущения'!$D$108)+MAX(0,'Допущения'!$D$106-'Допущения'!$D$108)*MIN(MAX(S6-1,0),3)/3)/'Допущения'!$D$7</f>
        <v/>
      </c>
      <c r="T58" s="21">
        <f>T51+('Допущения'!$C$106*'Допущения'!$D$107+IF(T6&gt;='Допущения'!$D$9,'Допущения'!$C$106*(1-'Допущения'!$D$107),0)+MIN('Допущения'!$D$106,'Допущения'!$D$108)+MAX(0,'Допущения'!$D$106-'Допущения'!$D$108)*MIN(MAX(T6-1,0),3)/3)/'Допущения'!$D$7</f>
        <v/>
      </c>
      <c r="U58" s="21">
        <f>U51+('Допущения'!$C$106*'Допущения'!$D$107+IF(U6&gt;='Допущения'!$D$9,'Допущения'!$C$106*(1-'Допущения'!$D$107),0)+MIN('Допущения'!$D$106,'Допущения'!$D$108)+MAX(0,'Допущения'!$D$106-'Допущения'!$D$108)*MIN(MAX(U6-1,0),3)/3)/'Допущения'!$D$7</f>
        <v/>
      </c>
      <c r="V58" s="21">
        <f>V51+('Допущения'!$C$106*'Допущения'!$D$107+IF(V6&gt;='Допущения'!$D$9,'Допущения'!$C$106*(1-'Допущения'!$D$107),0)+MIN('Допущения'!$D$106,'Допущения'!$D$108)+MAX(0,'Допущения'!$D$106-'Допущения'!$D$108)*MIN(MAX(V6-1,0),3)/3)/'Допущения'!$D$7</f>
        <v/>
      </c>
      <c r="W58" s="21">
        <f>W51+('Допущения'!$C$106*'Допущения'!$D$107+IF(W6&gt;='Допущения'!$D$9,'Допущения'!$C$106*(1-'Допущения'!$D$107),0)+MIN('Допущения'!$D$106,'Допущения'!$D$108)+MAX(0,'Допущения'!$D$106-'Допущения'!$D$108)*MIN(MAX(W6-1,0),3)/3)/'Допущения'!$D$7</f>
        <v/>
      </c>
      <c r="X58" s="21">
        <f>X51+('Допущения'!$C$106*'Допущения'!$D$107+IF(X6&gt;='Допущения'!$D$9,'Допущения'!$C$106*(1-'Допущения'!$D$107),0)+MIN('Допущения'!$D$106,'Допущения'!$D$108)+MAX(0,'Допущения'!$D$106-'Допущения'!$D$108)*MIN(MAX(X6-1,0),3)/3)/'Допущения'!$D$7</f>
        <v/>
      </c>
      <c r="Y58" s="21">
        <f>Y51+('Допущения'!$C$106*'Допущения'!$D$107+IF(Y6&gt;='Допущения'!$D$9,'Допущения'!$C$106*(1-'Допущения'!$D$107),0)+MIN('Допущения'!$D$106,'Допущения'!$D$108)+MAX(0,'Допущения'!$D$106-'Допущения'!$D$108)*MIN(MAX(Y6-1,0),3)/3)/'Допущения'!$D$7</f>
        <v/>
      </c>
      <c r="Z58" s="21">
        <f>Z51+('Допущения'!$C$106*'Допущения'!$D$107+IF(Z6&gt;='Допущения'!$D$9,'Допущения'!$C$106*(1-'Допущения'!$D$107),0)+MIN('Допущения'!$D$106,'Допущения'!$D$108)+MAX(0,'Допущения'!$D$106-'Допущения'!$D$108)*MIN(MAX(Z6-1,0),3)/3)/'Допущения'!$D$7</f>
        <v/>
      </c>
      <c r="AA58" s="21">
        <f>AA51+('Допущения'!$C$106*'Допущения'!$D$107+IF(AA6&gt;='Допущения'!$D$9,'Допущения'!$C$106*(1-'Допущения'!$D$107),0)+MIN('Допущения'!$D$106,'Допущения'!$D$108)+MAX(0,'Допущения'!$D$106-'Допущения'!$D$108)*MIN(MAX(AA6-1,0),3)/3)/'Допущения'!$D$7</f>
        <v/>
      </c>
      <c r="AB58" s="21">
        <f>AB51+('Допущения'!$C$106*'Допущения'!$D$107+IF(AB6&gt;='Допущения'!$D$9,'Допущения'!$C$106*(1-'Допущения'!$D$107),0)+MIN('Допущения'!$D$106,'Допущения'!$D$108)+MAX(0,'Допущения'!$D$106-'Допущения'!$D$108)*MIN(MAX(AB6-1,0),3)/3)/'Допущения'!$D$7</f>
        <v/>
      </c>
      <c r="AC58" s="21">
        <f>AC51+('Допущения'!$C$106*'Допущения'!$D$107+IF(AC6&gt;='Допущения'!$D$9,'Допущения'!$C$106*(1-'Допущения'!$D$107),0)+MIN('Допущения'!$D$106,'Допущения'!$D$108)+MAX(0,'Допущения'!$D$106-'Допущения'!$D$108)*MIN(MAX(AC6-1,0),3)/3)/'Допущения'!$D$7</f>
        <v/>
      </c>
      <c r="AD58" s="21">
        <f>AD51+('Допущения'!$C$106*'Допущения'!$D$107+IF(AD6&gt;='Допущения'!$D$9,'Допущения'!$C$106*(1-'Допущения'!$D$107),0)+MIN('Допущения'!$D$106,'Допущения'!$D$108)+MAX(0,'Допущения'!$D$106-'Допущения'!$D$108)*MIN(MAX(AD6-1,0),3)/3)/'Допущения'!$D$7</f>
        <v/>
      </c>
      <c r="AE58" s="21">
        <f>AE51+('Допущения'!$C$106*'Допущения'!$D$107+IF(AE6&gt;='Допущения'!$D$9,'Допущения'!$C$106*(1-'Допущения'!$D$107),0)+MIN('Допущения'!$D$106,'Допущения'!$D$108)+MAX(0,'Допущения'!$D$106-'Допущения'!$D$108)*MIN(MAX(AE6-1,0),3)/3)/'Допущения'!$D$7</f>
        <v/>
      </c>
      <c r="AF58" s="21">
        <f>AF51+('Допущения'!$C$106*'Допущения'!$D$107+IF(AF6&gt;='Допущения'!$D$9,'Допущения'!$C$106*(1-'Допущения'!$D$107),0)+MIN('Допущения'!$D$106,'Допущения'!$D$108)+MAX(0,'Допущения'!$D$106-'Допущения'!$D$108)*MIN(MAX(AF6-1,0),3)/3)/'Допущения'!$D$7</f>
        <v/>
      </c>
      <c r="AG58" s="21">
        <f>AG51+('Допущения'!$C$106*'Допущения'!$D$107+IF(AG6&gt;='Допущения'!$D$9,'Допущения'!$C$106*(1-'Допущения'!$D$107),0)+MIN('Допущения'!$D$106,'Допущения'!$D$108)+MAX(0,'Допущения'!$D$106-'Допущения'!$D$108)*MIN(MAX(AG6-1,0),3)/3)/'Допущения'!$D$7</f>
        <v/>
      </c>
      <c r="AH58" s="21">
        <f>AH51+('Допущения'!$C$106*'Допущения'!$D$107+IF(AH6&gt;='Допущения'!$D$9,'Допущения'!$C$106*(1-'Допущения'!$D$107),0)+MIN('Допущения'!$D$106,'Допущения'!$D$108)+MAX(0,'Допущения'!$D$106-'Допущения'!$D$108)*MIN(MAX(AH6-1,0),3)/3)/'Допущения'!$D$7</f>
        <v/>
      </c>
      <c r="AI58" s="21">
        <f>AI51+('Допущения'!$C$106*'Допущения'!$D$107+IF(AI6&gt;='Допущения'!$D$9,'Допущения'!$C$106*(1-'Допущения'!$D$107),0)+MIN('Допущения'!$D$106,'Допущения'!$D$108)+MAX(0,'Допущения'!$D$106-'Допущения'!$D$108)*MIN(MAX(AI6-1,0),3)/3)/'Допущения'!$D$7</f>
        <v/>
      </c>
      <c r="AJ58" s="21">
        <f>AJ51+('Допущения'!$C$106*'Допущения'!$D$107+IF(AJ6&gt;='Допущения'!$D$9,'Допущения'!$C$106*(1-'Допущения'!$D$107),0)+MIN('Допущения'!$D$106,'Допущения'!$D$108)+MAX(0,'Допущения'!$D$106-'Допущения'!$D$108)*MIN(MAX(AJ6-1,0),3)/3)/'Допущения'!$D$7</f>
        <v/>
      </c>
      <c r="AK58" s="21">
        <f>AK51+('Допущения'!$C$106*'Допущения'!$D$107+IF(AK6&gt;='Допущения'!$D$9,'Допущения'!$C$106*(1-'Допущения'!$D$107),0)+MIN('Допущения'!$D$106,'Допущения'!$D$108)+MAX(0,'Допущения'!$D$106-'Допущения'!$D$108)*MIN(MAX(AK6-1,0),3)/3)/'Допущения'!$D$7</f>
        <v/>
      </c>
      <c r="AL58" s="21">
        <f>AL51+('Допущения'!$C$106*'Допущения'!$D$107+IF(AL6&gt;='Допущения'!$D$9,'Допущения'!$C$106*(1-'Допущения'!$D$107),0)+MIN('Допущения'!$D$106,'Допущения'!$D$108)+MAX(0,'Допущения'!$D$106-'Допущения'!$D$108)*MIN(MAX(AL6-1,0),3)/3)/'Допущения'!$D$7</f>
        <v/>
      </c>
    </row>
    <row r="59">
      <c r="A59" s="4" t="inlineStr">
        <is>
          <t>МЕТРИКИ</t>
        </is>
      </c>
      <c r="B59" s="5" t="n"/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</row>
    <row r="60">
      <c r="A60" s="6" t="inlineStr">
        <is>
          <t>MRR (брутто), $</t>
        </is>
      </c>
      <c r="C60" s="21">
        <f>C24</f>
        <v/>
      </c>
      <c r="D60" s="21">
        <f>D24</f>
        <v/>
      </c>
      <c r="E60" s="21">
        <f>E24</f>
        <v/>
      </c>
      <c r="F60" s="21">
        <f>F24</f>
        <v/>
      </c>
      <c r="G60" s="21">
        <f>G24</f>
        <v/>
      </c>
      <c r="H60" s="21">
        <f>H24</f>
        <v/>
      </c>
      <c r="I60" s="21">
        <f>I24</f>
        <v/>
      </c>
      <c r="J60" s="21">
        <f>J24</f>
        <v/>
      </c>
      <c r="K60" s="21">
        <f>K24</f>
        <v/>
      </c>
      <c r="L60" s="21">
        <f>L24</f>
        <v/>
      </c>
      <c r="M60" s="21">
        <f>M24</f>
        <v/>
      </c>
      <c r="N60" s="21">
        <f>N24</f>
        <v/>
      </c>
      <c r="O60" s="21">
        <f>O24</f>
        <v/>
      </c>
      <c r="P60" s="21">
        <f>P24</f>
        <v/>
      </c>
      <c r="Q60" s="21">
        <f>Q24</f>
        <v/>
      </c>
      <c r="R60" s="21">
        <f>R24</f>
        <v/>
      </c>
      <c r="S60" s="21">
        <f>S24</f>
        <v/>
      </c>
      <c r="T60" s="21">
        <f>T24</f>
        <v/>
      </c>
      <c r="U60" s="21">
        <f>U24</f>
        <v/>
      </c>
      <c r="V60" s="21">
        <f>V24</f>
        <v/>
      </c>
      <c r="W60" s="21">
        <f>W24</f>
        <v/>
      </c>
      <c r="X60" s="21">
        <f>X24</f>
        <v/>
      </c>
      <c r="Y60" s="21">
        <f>Y24</f>
        <v/>
      </c>
      <c r="Z60" s="21">
        <f>Z24</f>
        <v/>
      </c>
      <c r="AA60" s="21">
        <f>AA24</f>
        <v/>
      </c>
      <c r="AB60" s="21">
        <f>AB24</f>
        <v/>
      </c>
      <c r="AC60" s="21">
        <f>AC24</f>
        <v/>
      </c>
      <c r="AD60" s="21">
        <f>AD24</f>
        <v/>
      </c>
      <c r="AE60" s="21">
        <f>AE24</f>
        <v/>
      </c>
      <c r="AF60" s="21">
        <f>AF24</f>
        <v/>
      </c>
      <c r="AG60" s="21">
        <f>AG24</f>
        <v/>
      </c>
      <c r="AH60" s="21">
        <f>AH24</f>
        <v/>
      </c>
      <c r="AI60" s="21">
        <f>AI24</f>
        <v/>
      </c>
      <c r="AJ60" s="21">
        <f>AJ24</f>
        <v/>
      </c>
      <c r="AK60" s="21">
        <f>AK24</f>
        <v/>
      </c>
      <c r="AL60" s="21">
        <f>AL24</f>
        <v/>
      </c>
    </row>
    <row r="61">
      <c r="A61" s="6" t="inlineStr">
        <is>
          <t>CAC на нового платящего, $</t>
        </is>
      </c>
      <c r="B61" s="50">
        <f>IFERROR(B11/B19,0)</f>
        <v/>
      </c>
      <c r="C61" s="21">
        <f>IFERROR(IF(C9=1,C11/C19,0),0)</f>
        <v/>
      </c>
      <c r="D61" s="21">
        <f>IFERROR(IF(D9=1,D11/D19,0),0)</f>
        <v/>
      </c>
      <c r="E61" s="21">
        <f>IFERROR(IF(E9=1,E11/E19,0),0)</f>
        <v/>
      </c>
      <c r="F61" s="21">
        <f>IFERROR(IF(F9=1,F11/F19,0),0)</f>
        <v/>
      </c>
      <c r="G61" s="21">
        <f>IFERROR(IF(G9=1,G11/G19,0),0)</f>
        <v/>
      </c>
      <c r="H61" s="21">
        <f>IFERROR(IF(H9=1,H11/H19,0),0)</f>
        <v/>
      </c>
      <c r="I61" s="21">
        <f>IFERROR(IF(I9=1,I11/I19,0),0)</f>
        <v/>
      </c>
      <c r="J61" s="21">
        <f>IFERROR(IF(J9=1,J11/J19,0),0)</f>
        <v/>
      </c>
      <c r="K61" s="21">
        <f>IFERROR(IF(K9=1,K11/K19,0),0)</f>
        <v/>
      </c>
      <c r="L61" s="21">
        <f>IFERROR(IF(L9=1,L11/L19,0),0)</f>
        <v/>
      </c>
      <c r="M61" s="21">
        <f>IFERROR(IF(M9=1,M11/M19,0),0)</f>
        <v/>
      </c>
      <c r="N61" s="21">
        <f>IFERROR(IF(N9=1,N11/N19,0),0)</f>
        <v/>
      </c>
      <c r="O61" s="21">
        <f>IFERROR(IF(O9=1,O11/O19,0),0)</f>
        <v/>
      </c>
      <c r="P61" s="21">
        <f>IFERROR(IF(P9=1,P11/P19,0),0)</f>
        <v/>
      </c>
      <c r="Q61" s="21">
        <f>IFERROR(IF(Q9=1,Q11/Q19,0),0)</f>
        <v/>
      </c>
      <c r="R61" s="21">
        <f>IFERROR(IF(R9=1,R11/R19,0),0)</f>
        <v/>
      </c>
      <c r="S61" s="21">
        <f>IFERROR(IF(S9=1,S11/S19,0),0)</f>
        <v/>
      </c>
      <c r="T61" s="21">
        <f>IFERROR(IF(T9=1,T11/T19,0),0)</f>
        <v/>
      </c>
      <c r="U61" s="21">
        <f>IFERROR(IF(U9=1,U11/U19,0),0)</f>
        <v/>
      </c>
      <c r="V61" s="21">
        <f>IFERROR(IF(V9=1,V11/V19,0),0)</f>
        <v/>
      </c>
      <c r="W61" s="21">
        <f>IFERROR(IF(W9=1,W11/W19,0),0)</f>
        <v/>
      </c>
      <c r="X61" s="21">
        <f>IFERROR(IF(X9=1,X11/X19,0),0)</f>
        <v/>
      </c>
      <c r="Y61" s="21">
        <f>IFERROR(IF(Y9=1,Y11/Y19,0),0)</f>
        <v/>
      </c>
      <c r="Z61" s="21">
        <f>IFERROR(IF(Z9=1,Z11/Z19,0),0)</f>
        <v/>
      </c>
      <c r="AA61" s="21">
        <f>IFERROR(IF(AA9=1,AA11/AA19,0),0)</f>
        <v/>
      </c>
      <c r="AB61" s="21">
        <f>IFERROR(IF(AB9=1,AB11/AB19,0),0)</f>
        <v/>
      </c>
      <c r="AC61" s="21">
        <f>IFERROR(IF(AC9=1,AC11/AC19,0),0)</f>
        <v/>
      </c>
      <c r="AD61" s="21">
        <f>IFERROR(IF(AD9=1,AD11/AD19,0),0)</f>
        <v/>
      </c>
      <c r="AE61" s="21">
        <f>IFERROR(IF(AE9=1,AE11/AE19,0),0)</f>
        <v/>
      </c>
      <c r="AF61" s="21">
        <f>IFERROR(IF(AF9=1,AF11/AF19,0),0)</f>
        <v/>
      </c>
      <c r="AG61" s="21">
        <f>IFERROR(IF(AG9=1,AG11/AG19,0),0)</f>
        <v/>
      </c>
      <c r="AH61" s="21">
        <f>IFERROR(IF(AH9=1,AH11/AH19,0),0)</f>
        <v/>
      </c>
      <c r="AI61" s="21">
        <f>IFERROR(IF(AI9=1,AI11/AI19,0),0)</f>
        <v/>
      </c>
      <c r="AJ61" s="21">
        <f>IFERROR(IF(AJ9=1,AJ11/AJ19,0),0)</f>
        <v/>
      </c>
      <c r="AK61" s="21">
        <f>IFERROR(IF(AK9=1,AK11/AK19,0),0)</f>
        <v/>
      </c>
      <c r="AL61" s="21">
        <f>IFERROR(IF(AL9=1,AL11/AL19,0),0)</f>
        <v/>
      </c>
    </row>
    <row r="62">
      <c r="A62" s="6" t="inlineStr">
        <is>
          <t>Флаг: EBITDA ≥ 0 после выхода</t>
        </is>
      </c>
      <c r="C62" s="11">
        <f>IF(AND(C9=1,C48&gt;=0),1,0)</f>
        <v/>
      </c>
      <c r="D62" s="11">
        <f>IF(AND(D9=1,D48&gt;=0),1,0)</f>
        <v/>
      </c>
      <c r="E62" s="11">
        <f>IF(AND(E9=1,E48&gt;=0),1,0)</f>
        <v/>
      </c>
      <c r="F62" s="11">
        <f>IF(AND(F9=1,F48&gt;=0),1,0)</f>
        <v/>
      </c>
      <c r="G62" s="11">
        <f>IF(AND(G9=1,G48&gt;=0),1,0)</f>
        <v/>
      </c>
      <c r="H62" s="11">
        <f>IF(AND(H9=1,H48&gt;=0),1,0)</f>
        <v/>
      </c>
      <c r="I62" s="11">
        <f>IF(AND(I9=1,I48&gt;=0),1,0)</f>
        <v/>
      </c>
      <c r="J62" s="11">
        <f>IF(AND(J9=1,J48&gt;=0),1,0)</f>
        <v/>
      </c>
      <c r="K62" s="11">
        <f>IF(AND(K9=1,K48&gt;=0),1,0)</f>
        <v/>
      </c>
      <c r="L62" s="11">
        <f>IF(AND(L9=1,L48&gt;=0),1,0)</f>
        <v/>
      </c>
      <c r="M62" s="11">
        <f>IF(AND(M9=1,M48&gt;=0),1,0)</f>
        <v/>
      </c>
      <c r="N62" s="11">
        <f>IF(AND(N9=1,N48&gt;=0),1,0)</f>
        <v/>
      </c>
      <c r="O62" s="11">
        <f>IF(AND(O9=1,O48&gt;=0),1,0)</f>
        <v/>
      </c>
      <c r="P62" s="11">
        <f>IF(AND(P9=1,P48&gt;=0),1,0)</f>
        <v/>
      </c>
      <c r="Q62" s="11">
        <f>IF(AND(Q9=1,Q48&gt;=0),1,0)</f>
        <v/>
      </c>
      <c r="R62" s="11">
        <f>IF(AND(R9=1,R48&gt;=0),1,0)</f>
        <v/>
      </c>
      <c r="S62" s="11">
        <f>IF(AND(S9=1,S48&gt;=0),1,0)</f>
        <v/>
      </c>
      <c r="T62" s="11">
        <f>IF(AND(T9=1,T48&gt;=0),1,0)</f>
        <v/>
      </c>
      <c r="U62" s="11">
        <f>IF(AND(U9=1,U48&gt;=0),1,0)</f>
        <v/>
      </c>
      <c r="V62" s="11">
        <f>IF(AND(V9=1,V48&gt;=0),1,0)</f>
        <v/>
      </c>
      <c r="W62" s="11">
        <f>IF(AND(W9=1,W48&gt;=0),1,0)</f>
        <v/>
      </c>
      <c r="X62" s="11">
        <f>IF(AND(X9=1,X48&gt;=0),1,0)</f>
        <v/>
      </c>
      <c r="Y62" s="11">
        <f>IF(AND(Y9=1,Y48&gt;=0),1,0)</f>
        <v/>
      </c>
      <c r="Z62" s="11">
        <f>IF(AND(Z9=1,Z48&gt;=0),1,0)</f>
        <v/>
      </c>
      <c r="AA62" s="11">
        <f>IF(AND(AA9=1,AA48&gt;=0),1,0)</f>
        <v/>
      </c>
      <c r="AB62" s="11">
        <f>IF(AND(AB9=1,AB48&gt;=0),1,0)</f>
        <v/>
      </c>
      <c r="AC62" s="11">
        <f>IF(AND(AC9=1,AC48&gt;=0),1,0)</f>
        <v/>
      </c>
      <c r="AD62" s="11">
        <f>IF(AND(AD9=1,AD48&gt;=0),1,0)</f>
        <v/>
      </c>
      <c r="AE62" s="11">
        <f>IF(AND(AE9=1,AE48&gt;=0),1,0)</f>
        <v/>
      </c>
      <c r="AF62" s="11">
        <f>IF(AND(AF9=1,AF48&gt;=0),1,0)</f>
        <v/>
      </c>
      <c r="AG62" s="11">
        <f>IF(AND(AG9=1,AG48&gt;=0),1,0)</f>
        <v/>
      </c>
      <c r="AH62" s="11">
        <f>IF(AND(AH9=1,AH48&gt;=0),1,0)</f>
        <v/>
      </c>
      <c r="AI62" s="11">
        <f>IF(AND(AI9=1,AI48&gt;=0),1,0)</f>
        <v/>
      </c>
      <c r="AJ62" s="11">
        <f>IF(AND(AJ9=1,AJ48&gt;=0),1,0)</f>
        <v/>
      </c>
      <c r="AK62" s="11">
        <f>IF(AND(AK9=1,AK48&gt;=0),1,0)</f>
        <v/>
      </c>
      <c r="AL62" s="11">
        <f>IF(AND(AL9=1,AL48&gt;=0),1,0)</f>
        <v/>
      </c>
    </row>
    <row r="63">
      <c r="A63" s="6" t="inlineStr">
        <is>
          <t>Флаг: EBITDA ≥ 0 в этом и всех следующих месяцах</t>
        </is>
      </c>
      <c r="C63" s="11">
        <f>IF(AND(C9=1,MIN(C48:$AL$48)&gt;=0),1,0)</f>
        <v/>
      </c>
      <c r="D63" s="11">
        <f>IF(AND(D9=1,MIN(D48:$AL$48)&gt;=0),1,0)</f>
        <v/>
      </c>
      <c r="E63" s="11">
        <f>IF(AND(E9=1,MIN(E48:$AL$48)&gt;=0),1,0)</f>
        <v/>
      </c>
      <c r="F63" s="11">
        <f>IF(AND(F9=1,MIN(F48:$AL$48)&gt;=0),1,0)</f>
        <v/>
      </c>
      <c r="G63" s="11">
        <f>IF(AND(G9=1,MIN(G48:$AL$48)&gt;=0),1,0)</f>
        <v/>
      </c>
      <c r="H63" s="11">
        <f>IF(AND(H9=1,MIN(H48:$AL$48)&gt;=0),1,0)</f>
        <v/>
      </c>
      <c r="I63" s="11">
        <f>IF(AND(I9=1,MIN(I48:$AL$48)&gt;=0),1,0)</f>
        <v/>
      </c>
      <c r="J63" s="11">
        <f>IF(AND(J9=1,MIN(J48:$AL$48)&gt;=0),1,0)</f>
        <v/>
      </c>
      <c r="K63" s="11">
        <f>IF(AND(K9=1,MIN(K48:$AL$48)&gt;=0),1,0)</f>
        <v/>
      </c>
      <c r="L63" s="11">
        <f>IF(AND(L9=1,MIN(L48:$AL$48)&gt;=0),1,0)</f>
        <v/>
      </c>
      <c r="M63" s="11">
        <f>IF(AND(M9=1,MIN(M48:$AL$48)&gt;=0),1,0)</f>
        <v/>
      </c>
      <c r="N63" s="11">
        <f>IF(AND(N9=1,MIN(N48:$AL$48)&gt;=0),1,0)</f>
        <v/>
      </c>
      <c r="O63" s="11">
        <f>IF(AND(O9=1,MIN(O48:$AL$48)&gt;=0),1,0)</f>
        <v/>
      </c>
      <c r="P63" s="11">
        <f>IF(AND(P9=1,MIN(P48:$AL$48)&gt;=0),1,0)</f>
        <v/>
      </c>
      <c r="Q63" s="11">
        <f>IF(AND(Q9=1,MIN(Q48:$AL$48)&gt;=0),1,0)</f>
        <v/>
      </c>
      <c r="R63" s="11">
        <f>IF(AND(R9=1,MIN(R48:$AL$48)&gt;=0),1,0)</f>
        <v/>
      </c>
      <c r="S63" s="11">
        <f>IF(AND(S9=1,MIN(S48:$AL$48)&gt;=0),1,0)</f>
        <v/>
      </c>
      <c r="T63" s="11">
        <f>IF(AND(T9=1,MIN(T48:$AL$48)&gt;=0),1,0)</f>
        <v/>
      </c>
      <c r="U63" s="11">
        <f>IF(AND(U9=1,MIN(U48:$AL$48)&gt;=0),1,0)</f>
        <v/>
      </c>
      <c r="V63" s="11">
        <f>IF(AND(V9=1,MIN(V48:$AL$48)&gt;=0),1,0)</f>
        <v/>
      </c>
      <c r="W63" s="11">
        <f>IF(AND(W9=1,MIN(W48:$AL$48)&gt;=0),1,0)</f>
        <v/>
      </c>
      <c r="X63" s="11">
        <f>IF(AND(X9=1,MIN(X48:$AL$48)&gt;=0),1,0)</f>
        <v/>
      </c>
      <c r="Y63" s="11">
        <f>IF(AND(Y9=1,MIN(Y48:$AL$48)&gt;=0),1,0)</f>
        <v/>
      </c>
      <c r="Z63" s="11">
        <f>IF(AND(Z9=1,MIN(Z48:$AL$48)&gt;=0),1,0)</f>
        <v/>
      </c>
      <c r="AA63" s="11">
        <f>IF(AND(AA9=1,MIN(AA48:$AL$48)&gt;=0),1,0)</f>
        <v/>
      </c>
      <c r="AB63" s="11">
        <f>IF(AND(AB9=1,MIN(AB48:$AL$48)&gt;=0),1,0)</f>
        <v/>
      </c>
      <c r="AC63" s="11">
        <f>IF(AND(AC9=1,MIN(AC48:$AL$48)&gt;=0),1,0)</f>
        <v/>
      </c>
      <c r="AD63" s="11">
        <f>IF(AND(AD9=1,MIN(AD48:$AL$48)&gt;=0),1,0)</f>
        <v/>
      </c>
      <c r="AE63" s="11">
        <f>IF(AND(AE9=1,MIN(AE48:$AL$48)&gt;=0),1,0)</f>
        <v/>
      </c>
      <c r="AF63" s="11">
        <f>IF(AND(AF9=1,MIN(AF48:$AL$48)&gt;=0),1,0)</f>
        <v/>
      </c>
      <c r="AG63" s="11">
        <f>IF(AND(AG9=1,MIN(AG48:$AL$48)&gt;=0),1,0)</f>
        <v/>
      </c>
      <c r="AH63" s="11">
        <f>IF(AND(AH9=1,MIN(AH48:$AL$48)&gt;=0),1,0)</f>
        <v/>
      </c>
      <c r="AI63" s="11">
        <f>IF(AND(AI9=1,MIN(AI48:$AL$48)&gt;=0),1,0)</f>
        <v/>
      </c>
      <c r="AJ63" s="11">
        <f>IF(AND(AJ9=1,MIN(AJ48:$AL$48)&gt;=0),1,0)</f>
        <v/>
      </c>
      <c r="AK63" s="11">
        <f>IF(AND(AK9=1,MIN(AK48:$AL$48)&gt;=0),1,0)</f>
        <v/>
      </c>
      <c r="AL63" s="11">
        <f>IF(AND(AL9=1,MIN(AL48:$AL$48)&gt;=0),1,0)</f>
        <v/>
      </c>
    </row>
    <row r="64">
      <c r="A64" s="6" t="inlineStr">
        <is>
          <t>Флаг: накопленный поток ≥ 0</t>
        </is>
      </c>
      <c r="C64" s="11">
        <f>IF(C51&gt;=0,1,0)</f>
        <v/>
      </c>
      <c r="D64" s="11">
        <f>IF(D51&gt;=0,1,0)</f>
        <v/>
      </c>
      <c r="E64" s="11">
        <f>IF(E51&gt;=0,1,0)</f>
        <v/>
      </c>
      <c r="F64" s="11">
        <f>IF(F51&gt;=0,1,0)</f>
        <v/>
      </c>
      <c r="G64" s="11">
        <f>IF(G51&gt;=0,1,0)</f>
        <v/>
      </c>
      <c r="H64" s="11">
        <f>IF(H51&gt;=0,1,0)</f>
        <v/>
      </c>
      <c r="I64" s="11">
        <f>IF(I51&gt;=0,1,0)</f>
        <v/>
      </c>
      <c r="J64" s="11">
        <f>IF(J51&gt;=0,1,0)</f>
        <v/>
      </c>
      <c r="K64" s="11">
        <f>IF(K51&gt;=0,1,0)</f>
        <v/>
      </c>
      <c r="L64" s="11">
        <f>IF(L51&gt;=0,1,0)</f>
        <v/>
      </c>
      <c r="M64" s="11">
        <f>IF(M51&gt;=0,1,0)</f>
        <v/>
      </c>
      <c r="N64" s="11">
        <f>IF(N51&gt;=0,1,0)</f>
        <v/>
      </c>
      <c r="O64" s="11">
        <f>IF(O51&gt;=0,1,0)</f>
        <v/>
      </c>
      <c r="P64" s="11">
        <f>IF(P51&gt;=0,1,0)</f>
        <v/>
      </c>
      <c r="Q64" s="11">
        <f>IF(Q51&gt;=0,1,0)</f>
        <v/>
      </c>
      <c r="R64" s="11">
        <f>IF(R51&gt;=0,1,0)</f>
        <v/>
      </c>
      <c r="S64" s="11">
        <f>IF(S51&gt;=0,1,0)</f>
        <v/>
      </c>
      <c r="T64" s="11">
        <f>IF(T51&gt;=0,1,0)</f>
        <v/>
      </c>
      <c r="U64" s="11">
        <f>IF(U51&gt;=0,1,0)</f>
        <v/>
      </c>
      <c r="V64" s="11">
        <f>IF(V51&gt;=0,1,0)</f>
        <v/>
      </c>
      <c r="W64" s="11">
        <f>IF(W51&gt;=0,1,0)</f>
        <v/>
      </c>
      <c r="X64" s="11">
        <f>IF(X51&gt;=0,1,0)</f>
        <v/>
      </c>
      <c r="Y64" s="11">
        <f>IF(Y51&gt;=0,1,0)</f>
        <v/>
      </c>
      <c r="Z64" s="11">
        <f>IF(Z51&gt;=0,1,0)</f>
        <v/>
      </c>
      <c r="AA64" s="11">
        <f>IF(AA51&gt;=0,1,0)</f>
        <v/>
      </c>
      <c r="AB64" s="11">
        <f>IF(AB51&gt;=0,1,0)</f>
        <v/>
      </c>
      <c r="AC64" s="11">
        <f>IF(AC51&gt;=0,1,0)</f>
        <v/>
      </c>
      <c r="AD64" s="11">
        <f>IF(AD51&gt;=0,1,0)</f>
        <v/>
      </c>
      <c r="AE64" s="11">
        <f>IF(AE51&gt;=0,1,0)</f>
        <v/>
      </c>
      <c r="AF64" s="11">
        <f>IF(AF51&gt;=0,1,0)</f>
        <v/>
      </c>
      <c r="AG64" s="11">
        <f>IF(AG51&gt;=0,1,0)</f>
        <v/>
      </c>
      <c r="AH64" s="11">
        <f>IF(AH51&gt;=0,1,0)</f>
        <v/>
      </c>
      <c r="AI64" s="11">
        <f>IF(AI51&gt;=0,1,0)</f>
        <v/>
      </c>
      <c r="AJ64" s="11">
        <f>IF(AJ51&gt;=0,1,0)</f>
        <v/>
      </c>
      <c r="AK64" s="11">
        <f>IF(AK51&gt;=0,1,0)</f>
        <v/>
      </c>
      <c r="AL64" s="11">
        <f>IF(AL51&gt;=0,1,0)</f>
        <v/>
      </c>
    </row>
    <row r="65">
      <c r="A65" s="6" t="inlineStr">
        <is>
          <t>Поток для IRR (с терминальной стоимостью)</t>
        </is>
      </c>
      <c r="C65" s="21">
        <f>C50+0</f>
        <v/>
      </c>
      <c r="D65" s="21">
        <f>D50+0</f>
        <v/>
      </c>
      <c r="E65" s="21">
        <f>E50+0</f>
        <v/>
      </c>
      <c r="F65" s="21">
        <f>F50+0</f>
        <v/>
      </c>
      <c r="G65" s="21">
        <f>G50+0</f>
        <v/>
      </c>
      <c r="H65" s="21">
        <f>H50+0</f>
        <v/>
      </c>
      <c r="I65" s="21">
        <f>I50+0</f>
        <v/>
      </c>
      <c r="J65" s="21">
        <f>J50+0</f>
        <v/>
      </c>
      <c r="K65" s="21">
        <f>K50+0</f>
        <v/>
      </c>
      <c r="L65" s="21">
        <f>L50+0</f>
        <v/>
      </c>
      <c r="M65" s="21">
        <f>M50+0</f>
        <v/>
      </c>
      <c r="N65" s="21">
        <f>N50+0</f>
        <v/>
      </c>
      <c r="O65" s="21">
        <f>O50+0</f>
        <v/>
      </c>
      <c r="P65" s="21">
        <f>P50+0</f>
        <v/>
      </c>
      <c r="Q65" s="21">
        <f>Q50+0</f>
        <v/>
      </c>
      <c r="R65" s="21">
        <f>R50+0</f>
        <v/>
      </c>
      <c r="S65" s="21">
        <f>S50+0</f>
        <v/>
      </c>
      <c r="T65" s="21">
        <f>T50+0</f>
        <v/>
      </c>
      <c r="U65" s="21">
        <f>U50+0</f>
        <v/>
      </c>
      <c r="V65" s="21">
        <f>V50+0</f>
        <v/>
      </c>
      <c r="W65" s="21">
        <f>W50+0</f>
        <v/>
      </c>
      <c r="X65" s="21">
        <f>X50+0</f>
        <v/>
      </c>
      <c r="Y65" s="21">
        <f>Y50+0</f>
        <v/>
      </c>
      <c r="Z65" s="21">
        <f>Z50+0</f>
        <v/>
      </c>
      <c r="AA65" s="21">
        <f>AA50+0</f>
        <v/>
      </c>
      <c r="AB65" s="21">
        <f>AB50+0</f>
        <v/>
      </c>
      <c r="AC65" s="21">
        <f>AC50+0</f>
        <v/>
      </c>
      <c r="AD65" s="21">
        <f>AD50+0</f>
        <v/>
      </c>
      <c r="AE65" s="21">
        <f>AE50+0</f>
        <v/>
      </c>
      <c r="AF65" s="21">
        <f>AF50+0</f>
        <v/>
      </c>
      <c r="AG65" s="21">
        <f>AG50+0</f>
        <v/>
      </c>
      <c r="AH65" s="21">
        <f>AH50+0</f>
        <v/>
      </c>
      <c r="AI65" s="21">
        <f>AI50+0</f>
        <v/>
      </c>
      <c r="AJ65" s="21">
        <f>AJ50+0</f>
        <v/>
      </c>
      <c r="AK65" s="21">
        <f>AK50+0</f>
        <v/>
      </c>
      <c r="AL65" s="21">
        <f>AL50+AL60*12*'Допущения'!$D$100</f>
        <v/>
      </c>
    </row>
    <row r="66"/>
    <row r="67">
      <c r="A67" s="35" t="inlineStr">
        <is>
          <t>СВОДКА</t>
        </is>
      </c>
    </row>
    <row r="68">
      <c r="A68" s="6" t="inlineStr">
        <is>
          <t>Первый месяц с EBITDA ≥ 0 (№)</t>
        </is>
      </c>
      <c r="B68" s="51">
        <f>IFERROR(MATCH(1,$C$62:$AL$62,0),"не достигнут")</f>
        <v/>
      </c>
    </row>
    <row r="69">
      <c r="A69" s="6" t="inlineStr">
        <is>
          <t>Устойчивая безубыточность: EBITDA ≥ 0 и дальше (№ мес.)</t>
        </is>
      </c>
      <c r="B69" s="51">
        <f>IFERROR(MATCH(1,$C$63:$AL$63,0),"не достигнута")</f>
        <v/>
      </c>
    </row>
    <row r="70">
      <c r="A70" s="6" t="inlineStr">
        <is>
          <t>Устойчивая безубыточность (дата)</t>
        </is>
      </c>
      <c r="B70" s="52">
        <f>IFERROR(INDEX($C$7:$AL$7,MATCH(1,$C$63:$AL$63,0)),"—")</f>
        <v/>
      </c>
    </row>
    <row r="71">
      <c r="A71" s="6" t="inlineStr">
        <is>
          <t>Окупаемость: накопленный поток ≥ 0 (№ мес.)</t>
        </is>
      </c>
      <c r="B71" s="51">
        <f>IFERROR(MATCH(1,$C$64:$AL$64,0),"&gt; 36 мес.")</f>
        <v/>
      </c>
    </row>
    <row r="72">
      <c r="A72" s="6" t="inlineStr">
        <is>
          <t>Пиковая потребность в финансировании, $</t>
        </is>
      </c>
      <c r="B72" s="44">
        <f>-MIN($C$51:$AL$51)</f>
        <v/>
      </c>
    </row>
    <row r="73">
      <c r="A73" s="6" t="inlineStr">
        <is>
          <t>То же, ₽</t>
        </is>
      </c>
      <c r="B73" s="45">
        <f>-MIN($C$51:$AL$51)*'Допущения'!$D$7</f>
        <v/>
      </c>
    </row>
    <row r="74">
      <c r="A74" s="6" t="inlineStr">
        <is>
          <t>Чистая выручка, год 1, $</t>
        </is>
      </c>
      <c r="B74" s="44">
        <f>SUMIF($C$8:$AL$8,1,$C$28:$AL$28)</f>
        <v/>
      </c>
    </row>
    <row r="75">
      <c r="A75" s="6" t="inlineStr">
        <is>
          <t>Чистая выручка, год 2, $</t>
        </is>
      </c>
      <c r="B75" s="44">
        <f>SUMIF($C$8:$AL$8,2,$C$28:$AL$28)</f>
        <v/>
      </c>
    </row>
    <row r="76">
      <c r="A76" s="6" t="inlineStr">
        <is>
          <t>Чистая выручка, год 3, $</t>
        </is>
      </c>
      <c r="B76" s="44">
        <f>SUMIF($C$8:$AL$8,3,$C$28:$AL$28)</f>
        <v/>
      </c>
    </row>
    <row r="77">
      <c r="A77" s="6" t="inlineStr">
        <is>
          <t>EBITDA, год 1, $</t>
        </is>
      </c>
      <c r="B77" s="44">
        <f>SUMIF($C$8:$AL$8,1,$C$48:$AL$48)</f>
        <v/>
      </c>
    </row>
    <row r="78">
      <c r="A78" s="6" t="inlineStr">
        <is>
          <t>EBITDA, год 2, $</t>
        </is>
      </c>
      <c r="B78" s="44">
        <f>SUMIF($C$8:$AL$8,2,$C$48:$AL$48)</f>
        <v/>
      </c>
    </row>
    <row r="79">
      <c r="A79" s="6" t="inlineStr">
        <is>
          <t>EBITDA, год 3, $</t>
        </is>
      </c>
      <c r="B79" s="44">
        <f>SUMIF($C$8:$AL$8,3,$C$48:$AL$48)</f>
        <v/>
      </c>
    </row>
    <row r="80">
      <c r="A80" s="6" t="inlineStr">
        <is>
          <t>Платящие, мес. 12</t>
        </is>
      </c>
      <c r="B80" s="48">
        <f>$N$21</f>
        <v/>
      </c>
    </row>
    <row r="81">
      <c r="A81" s="6" t="inlineStr">
        <is>
          <t>Платящие, мес. 24</t>
        </is>
      </c>
      <c r="B81" s="48">
        <f>$Z$21</f>
        <v/>
      </c>
    </row>
    <row r="82">
      <c r="A82" s="6" t="inlineStr">
        <is>
          <t>Платящие, мес. 36</t>
        </is>
      </c>
      <c r="B82" s="48">
        <f>$AL$21</f>
        <v/>
      </c>
    </row>
    <row r="83">
      <c r="A83" s="6" t="inlineStr">
        <is>
          <t>Активные, мес. 12</t>
        </is>
      </c>
      <c r="B83" s="48">
        <f>$N$22</f>
        <v/>
      </c>
    </row>
    <row r="84">
      <c r="A84" s="6" t="inlineStr">
        <is>
          <t>Активные, мес. 36</t>
        </is>
      </c>
      <c r="B84" s="48">
        <f>$AL$22</f>
        <v/>
      </c>
    </row>
    <row r="85">
      <c r="A85" s="6" t="inlineStr">
        <is>
          <t>MRR, мес. 12, $</t>
        </is>
      </c>
      <c r="B85" s="44">
        <f>$N$60</f>
        <v/>
      </c>
    </row>
    <row r="86">
      <c r="A86" s="6" t="inlineStr">
        <is>
          <t>MRR, мес. 24, $</t>
        </is>
      </c>
      <c r="B86" s="44">
        <f>$Z$60</f>
        <v/>
      </c>
    </row>
    <row r="87">
      <c r="A87" s="6" t="inlineStr">
        <is>
          <t>MRR, мес. 36, $</t>
        </is>
      </c>
      <c r="B87" s="44">
        <f>$AL$60</f>
        <v/>
      </c>
    </row>
    <row r="88">
      <c r="A88" s="6" t="inlineStr">
        <is>
          <t>ARR, мес. 36, $</t>
        </is>
      </c>
      <c r="B88" s="44">
        <f>$AL$60*12</f>
        <v/>
      </c>
    </row>
    <row r="89">
      <c r="A89" s="6" t="inlineStr">
        <is>
          <t>CAC средний (маркетинг / новые платящие после выхода), $</t>
        </is>
      </c>
      <c r="B89" s="53">
        <f>IFERROR(SUMIF($C$9:$AL$9,1,$C$11:$AL$11)/SUM($C$19:$AL$19),0)</f>
        <v/>
      </c>
    </row>
    <row r="90">
      <c r="A90" s="6" t="inlineStr">
        <is>
          <t>LTV платящего (чистая выручка × маржа / отток), $</t>
        </is>
      </c>
      <c r="B90" s="53">
        <f>'Себестоимость'!$D$13*'Себестоимость'!$D$15/'Допущения'!$D$69</f>
        <v/>
      </c>
    </row>
    <row r="91">
      <c r="A91" s="6" t="inlineStr">
        <is>
          <t>LTV / CAC</t>
        </is>
      </c>
      <c r="B91" s="54">
        <f>IFERROR(B90/B89,0)</f>
        <v/>
      </c>
    </row>
    <row r="92">
      <c r="A92" s="6" t="inlineStr">
        <is>
          <t>Валовая маржа за 36 мес.</t>
        </is>
      </c>
      <c r="B92" s="55">
        <f>B36</f>
        <v/>
      </c>
    </row>
    <row r="93">
      <c r="A93" s="6" t="inlineStr">
        <is>
          <t>NPV операционного потока + терминальная стоимость, $</t>
        </is>
      </c>
      <c r="B93" s="44">
        <f>NPV((1+'Допущения'!$D$99)^(1/12)-1,$C$65:$AL$65)</f>
        <v/>
      </c>
    </row>
    <row r="94">
      <c r="A94" s="6" t="inlineStr">
        <is>
          <t>IRR годовая</t>
        </is>
      </c>
      <c r="B94" s="55">
        <f>IFERROR((1+IRR($C$65:$AL$65,0.05))^12-1,"н/д")</f>
        <v/>
      </c>
    </row>
    <row r="95">
      <c r="A95" s="6" t="inlineStr">
        <is>
          <t>Мин. касса при выбранном варианте вложений, $</t>
        </is>
      </c>
      <c r="B95" s="44">
        <f>B55</f>
        <v/>
      </c>
    </row>
    <row r="96">
      <c r="A96" s="6" t="inlineStr">
        <is>
          <t>Мин. касса: вариант 1, $</t>
        </is>
      </c>
      <c r="B96" s="44">
        <f>B56</f>
        <v/>
      </c>
    </row>
    <row r="97">
      <c r="A97" s="6" t="inlineStr">
        <is>
          <t>Мин. касса: вариант 2, $</t>
        </is>
      </c>
      <c r="B97" s="44">
        <f>B57</f>
        <v/>
      </c>
    </row>
    <row r="98">
      <c r="A98" s="6" t="inlineStr">
        <is>
          <t>Мин. касса: вариант 3, $</t>
        </is>
      </c>
      <c r="B98" s="44">
        <f>B58</f>
        <v/>
      </c>
    </row>
    <row r="99">
      <c r="A99" s="6" t="inlineStr">
        <is>
          <t>Расходы мес. 1 … выход включительно, $</t>
        </is>
      </c>
      <c r="B99" s="44">
        <f>SUMIF($C$6:$AL$6,"&lt;="&amp;'Допущения'!$D$9,$C$34:$AL$34)+SUMIF($C$6:$AL$6,"&lt;="&amp;'Допущения'!$D$9,$C$47:$AL$47)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4" customWidth="1" min="3" max="3"/>
    <col width="11" customWidth="1" min="4" max="4"/>
    <col width="17" customWidth="1" min="5" max="5"/>
    <col width="17" customWidth="1" min="6" max="6"/>
    <col width="11" customWidth="1" min="7" max="7"/>
    <col width="11" customWidth="1" min="8" max="8"/>
    <col width="13" customWidth="1" min="9" max="9"/>
    <col width="11" customWidth="1" min="10" max="10"/>
    <col width="13" customWidth="1" min="11" max="11"/>
    <col width="11" customWidth="1" min="12" max="12"/>
    <col width="11" customWidth="1" min="13" max="13"/>
  </cols>
  <sheetData>
    <row r="1">
      <c r="A1" s="1" t="inlineStr">
        <is>
          <t>Распределение долей между основателями</t>
        </is>
      </c>
    </row>
    <row r="2">
      <c r="A2" s="2" t="inlineStr">
        <is>
          <t>Два метода: (A) фиксированный — вклад деньгами и работой 1:1; (B) Slicing Pie — деньги ×4, работа ×2 (М. Мойер). Синие ячейки — допущения.</t>
        </is>
      </c>
    </row>
    <row r="3"/>
    <row r="4">
      <c r="A4" s="36" t="inlineStr">
        <is>
          <t>Рыночная ставка разработчика (я), $/ч</t>
        </is>
      </c>
      <c r="B4" s="20" t="n">
        <v>25</v>
      </c>
      <c r="C4" s="9" t="inlineStr">
        <is>
          <t>Middle full-stack, удалённо, рынок СНГ/Грузии; в США $60+</t>
        </is>
      </c>
    </row>
    <row r="5">
      <c r="A5" s="36" t="inlineStr">
        <is>
          <t>Часы на дипломный прототип (за год)</t>
        </is>
      </c>
      <c r="B5" s="15" t="n">
        <v>800</v>
      </c>
      <c r="C5" s="9" t="inlineStr">
        <is>
          <t>≈ 15 ч/нед × 52 нед. — уточнить по истории коммитов</t>
        </is>
      </c>
    </row>
    <row r="6">
      <c r="A6" s="36" t="inlineStr">
        <is>
          <t>Применимость старого прототипа к новому продукту</t>
        </is>
      </c>
      <c r="B6" s="17" t="n">
        <v>0.5</v>
      </c>
      <c r="C6" s="9" t="inlineStr">
        <is>
          <t>Код на Python переписан на TS; переносятся идеи, экстрактор, опыт</t>
        </is>
      </c>
    </row>
    <row r="7">
      <c r="A7" s="36" t="inlineStr">
        <is>
          <t>Часы на текущий прототип (окт. 2026)</t>
        </is>
      </c>
      <c r="B7" s="15" t="n">
        <v>150</v>
      </c>
      <c r="C7" s="9" t="inlineStr">
        <is>
          <t>Этапы 0–6 roadmap</t>
        </is>
      </c>
    </row>
    <row r="8">
      <c r="A8" s="36" t="inlineStr">
        <is>
          <t>Мои часы в неделю на проект далее</t>
        </is>
      </c>
      <c r="B8" s="15" t="n">
        <v>25</v>
      </c>
      <c r="C8" s="9" t="inlineStr">
        <is>
          <t>Разработка, дизайн, агенты, БД, CI, соцсети</t>
        </is>
      </c>
    </row>
    <row r="9">
      <c r="A9" s="36" t="inlineStr">
        <is>
          <t>Рыночная ставка партнёра (маркетинг, документы), $/ч</t>
        </is>
      </c>
      <c r="B9" s="20" t="n">
        <v>20</v>
      </c>
      <c r="C9" s="9" t="inlineStr">
        <is>
          <t>Маркетолог/администратор, удалённо</t>
        </is>
      </c>
    </row>
    <row r="10">
      <c r="A10" s="36" t="inlineStr">
        <is>
          <t>Часы партнёра в неделю</t>
        </is>
      </c>
      <c r="B10" s="15" t="n">
        <v>10</v>
      </c>
      <c r="C10" s="9" t="inlineStr">
        <is>
          <t>Реклама, оформление документов</t>
        </is>
      </c>
    </row>
    <row r="11">
      <c r="A11" s="36" t="inlineStr">
        <is>
          <t>Горизонт оценки работы до фиксации долей, мес.</t>
        </is>
      </c>
      <c r="B11" s="15" t="n">
        <v>12</v>
      </c>
      <c r="C11" s="9" t="inlineStr">
        <is>
          <t>До раунда или безубыточности</t>
        </is>
      </c>
    </row>
    <row r="12">
      <c r="A12" s="36" t="inlineStr">
        <is>
          <t>Множитель денег (Slicing Pie)</t>
        </is>
      </c>
      <c r="B12" s="10" t="n">
        <v>4</v>
      </c>
      <c r="C12" s="9" t="inlineStr">
        <is>
          <t>Деньги достать труднее</t>
        </is>
      </c>
    </row>
    <row r="13">
      <c r="A13" s="36" t="inlineStr">
        <is>
          <t>Множитель работы (Slicing Pie)</t>
        </is>
      </c>
      <c r="B13" s="10" t="n">
        <v>2</v>
      </c>
      <c r="C13" s="9" t="inlineStr">
        <is>
          <t>Работа без оплаты</t>
        </is>
      </c>
    </row>
    <row r="14">
      <c r="A14" s="36" t="inlineStr">
        <is>
          <t>Резерв опционного пула</t>
        </is>
      </c>
      <c r="B14" s="17" t="n">
        <v>0.1</v>
      </c>
      <c r="C14" s="9" t="inlineStr">
        <is>
          <t>Для SMM, второго разработчика, советников</t>
        </is>
      </c>
    </row>
    <row r="15"/>
    <row r="16">
      <c r="A16" s="35" t="inlineStr">
        <is>
          <t>Мой вклад IP (прототип), $</t>
        </is>
      </c>
      <c r="B16" s="37">
        <f>($B$5*$B$6+$B$7)*$B$4</f>
        <v/>
      </c>
    </row>
    <row r="17">
      <c r="A17" s="35" t="inlineStr">
        <is>
          <t>Моя работа за горизонт, $</t>
        </is>
      </c>
      <c r="B17" s="37">
        <f>$B$8*52/12*$B$11*$B$4</f>
        <v/>
      </c>
    </row>
    <row r="18">
      <c r="A18" s="35" t="inlineStr">
        <is>
          <t>Работа партнёра за горизонт, $</t>
        </is>
      </c>
      <c r="B18" s="37">
        <f>$B$10*52/12*$B$11*$B$9</f>
        <v/>
      </c>
    </row>
    <row r="19"/>
    <row r="20" ht="58" customHeight="1">
      <c r="A20" s="39" t="inlineStr">
        <is>
          <t>Партнёр, ₽</t>
        </is>
      </c>
      <c r="B20" s="39" t="inlineStr">
        <is>
          <t>Я, ₽</t>
        </is>
      </c>
      <c r="C20" s="39" t="inlineStr">
        <is>
          <t>Партнёр, $</t>
        </is>
      </c>
      <c r="D20" s="39" t="inlineStr">
        <is>
          <t>Я, $</t>
        </is>
      </c>
      <c r="E20" s="39" t="inlineStr">
        <is>
          <t>Вклад партнёра (деньги+работа), $</t>
        </is>
      </c>
      <c r="F20" s="39" t="inlineStr">
        <is>
          <t>Мой вклад (деньги+IP+работа), $</t>
        </is>
      </c>
      <c r="G20" s="39" t="inlineStr">
        <is>
          <t>A: партнёр</t>
        </is>
      </c>
      <c r="H20" s="39" t="inlineStr">
        <is>
          <t>A: я</t>
        </is>
      </c>
      <c r="I20" s="39" t="inlineStr">
        <is>
          <t>B (Slicing Pie): партнёр</t>
        </is>
      </c>
      <c r="J20" s="39" t="inlineStr">
        <is>
          <t>B: я</t>
        </is>
      </c>
      <c r="K20" s="39" t="inlineStr">
        <is>
          <t>B с пулом: партнёр</t>
        </is>
      </c>
      <c r="L20" s="39" t="inlineStr">
        <is>
          <t>B с пулом: я</t>
        </is>
      </c>
      <c r="M20" s="39" t="inlineStr">
        <is>
          <t>B с пулом: пул</t>
        </is>
      </c>
    </row>
    <row r="21">
      <c r="A21" s="25" t="n">
        <v>300000</v>
      </c>
      <c r="B21" s="25" t="n">
        <v>200000</v>
      </c>
      <c r="C21" s="21">
        <f>A21/'Допущения'!$D$7</f>
        <v/>
      </c>
      <c r="D21" s="21">
        <f>B21/'Допущения'!$D$7</f>
        <v/>
      </c>
      <c r="E21" s="21">
        <f>C21+$B$18</f>
        <v/>
      </c>
      <c r="F21" s="21">
        <f>D21+$B$16+$B$17</f>
        <v/>
      </c>
      <c r="G21" s="16">
        <f>E21/(E21+F21)</f>
        <v/>
      </c>
      <c r="H21" s="16">
        <f>F21/(E21+F21)</f>
        <v/>
      </c>
      <c r="I21" s="16">
        <f>(C21*$B$12+$B$18*$B$13)/(C21*$B$12+$B$18*$B$13+D21*$B$12+($B$16+$B$17)*$B$13)</f>
        <v/>
      </c>
      <c r="J21" s="16">
        <f>1-I21</f>
        <v/>
      </c>
      <c r="K21" s="16">
        <f>I21*(1-$B$14)</f>
        <v/>
      </c>
      <c r="L21" s="16">
        <f>J21*(1-$B$14)</f>
        <v/>
      </c>
      <c r="M21" s="16">
        <f>$B$14</f>
        <v/>
      </c>
    </row>
    <row r="22">
      <c r="A22" s="25" t="n">
        <v>300000</v>
      </c>
      <c r="B22" s="25" t="n">
        <v>350000</v>
      </c>
      <c r="C22" s="21">
        <f>A22/'Допущения'!$D$7</f>
        <v/>
      </c>
      <c r="D22" s="21">
        <f>B22/'Допущения'!$D$7</f>
        <v/>
      </c>
      <c r="E22" s="21">
        <f>C22+$B$18</f>
        <v/>
      </c>
      <c r="F22" s="21">
        <f>D22+$B$16+$B$17</f>
        <v/>
      </c>
      <c r="G22" s="16">
        <f>E22/(E22+F22)</f>
        <v/>
      </c>
      <c r="H22" s="16">
        <f>F22/(E22+F22)</f>
        <v/>
      </c>
      <c r="I22" s="16">
        <f>(C22*$B$12+$B$18*$B$13)/(C22*$B$12+$B$18*$B$13+D22*$B$12+($B$16+$B$17)*$B$13)</f>
        <v/>
      </c>
      <c r="J22" s="16">
        <f>1-I22</f>
        <v/>
      </c>
      <c r="K22" s="16">
        <f>I22*(1-$B$14)</f>
        <v/>
      </c>
      <c r="L22" s="16">
        <f>J22*(1-$B$14)</f>
        <v/>
      </c>
      <c r="M22" s="16">
        <f>$B$14</f>
        <v/>
      </c>
    </row>
    <row r="23">
      <c r="A23" s="25" t="n">
        <v>300000</v>
      </c>
      <c r="B23" s="25" t="n">
        <v>500000</v>
      </c>
      <c r="C23" s="21">
        <f>A23/'Допущения'!$D$7</f>
        <v/>
      </c>
      <c r="D23" s="21">
        <f>B23/'Допущения'!$D$7</f>
        <v/>
      </c>
      <c r="E23" s="21">
        <f>C23+$B$18</f>
        <v/>
      </c>
      <c r="F23" s="21">
        <f>D23+$B$16+$B$17</f>
        <v/>
      </c>
      <c r="G23" s="16">
        <f>E23/(E23+F23)</f>
        <v/>
      </c>
      <c r="H23" s="16">
        <f>F23/(E23+F23)</f>
        <v/>
      </c>
      <c r="I23" s="16">
        <f>(C23*$B$12+$B$18*$B$13)/(C23*$B$12+$B$18*$B$13+D23*$B$12+($B$16+$B$17)*$B$13)</f>
        <v/>
      </c>
      <c r="J23" s="16">
        <f>1-I23</f>
        <v/>
      </c>
      <c r="K23" s="16">
        <f>I23*(1-$B$14)</f>
        <v/>
      </c>
      <c r="L23" s="16">
        <f>J23*(1-$B$14)</f>
        <v/>
      </c>
      <c r="M23" s="16">
        <f>$B$14</f>
        <v/>
      </c>
    </row>
    <row r="24">
      <c r="A24" s="25" t="n">
        <v>650000</v>
      </c>
      <c r="B24" s="25" t="n">
        <v>200000</v>
      </c>
      <c r="C24" s="21">
        <f>A24/'Допущения'!$D$7</f>
        <v/>
      </c>
      <c r="D24" s="21">
        <f>B24/'Допущения'!$D$7</f>
        <v/>
      </c>
      <c r="E24" s="21">
        <f>C24+$B$18</f>
        <v/>
      </c>
      <c r="F24" s="21">
        <f>D24+$B$16+$B$17</f>
        <v/>
      </c>
      <c r="G24" s="16">
        <f>E24/(E24+F24)</f>
        <v/>
      </c>
      <c r="H24" s="16">
        <f>F24/(E24+F24)</f>
        <v/>
      </c>
      <c r="I24" s="16">
        <f>(C24*$B$12+$B$18*$B$13)/(C24*$B$12+$B$18*$B$13+D24*$B$12+($B$16+$B$17)*$B$13)</f>
        <v/>
      </c>
      <c r="J24" s="16">
        <f>1-I24</f>
        <v/>
      </c>
      <c r="K24" s="16">
        <f>I24*(1-$B$14)</f>
        <v/>
      </c>
      <c r="L24" s="16">
        <f>J24*(1-$B$14)</f>
        <v/>
      </c>
      <c r="M24" s="16">
        <f>$B$14</f>
        <v/>
      </c>
    </row>
    <row r="25">
      <c r="A25" s="25" t="n">
        <v>650000</v>
      </c>
      <c r="B25" s="25" t="n">
        <v>350000</v>
      </c>
      <c r="C25" s="21">
        <f>A25/'Допущения'!$D$7</f>
        <v/>
      </c>
      <c r="D25" s="21">
        <f>B25/'Допущения'!$D$7</f>
        <v/>
      </c>
      <c r="E25" s="21">
        <f>C25+$B$18</f>
        <v/>
      </c>
      <c r="F25" s="21">
        <f>D25+$B$16+$B$17</f>
        <v/>
      </c>
      <c r="G25" s="16">
        <f>E25/(E25+F25)</f>
        <v/>
      </c>
      <c r="H25" s="16">
        <f>F25/(E25+F25)</f>
        <v/>
      </c>
      <c r="I25" s="16">
        <f>(C25*$B$12+$B$18*$B$13)/(C25*$B$12+$B$18*$B$13+D25*$B$12+($B$16+$B$17)*$B$13)</f>
        <v/>
      </c>
      <c r="J25" s="16">
        <f>1-I25</f>
        <v/>
      </c>
      <c r="K25" s="16">
        <f>I25*(1-$B$14)</f>
        <v/>
      </c>
      <c r="L25" s="16">
        <f>J25*(1-$B$14)</f>
        <v/>
      </c>
      <c r="M25" s="16">
        <f>$B$14</f>
        <v/>
      </c>
    </row>
    <row r="26">
      <c r="A26" s="25" t="n">
        <v>650000</v>
      </c>
      <c r="B26" s="25" t="n">
        <v>500000</v>
      </c>
      <c r="C26" s="21">
        <f>A26/'Допущения'!$D$7</f>
        <v/>
      </c>
      <c r="D26" s="21">
        <f>B26/'Допущения'!$D$7</f>
        <v/>
      </c>
      <c r="E26" s="21">
        <f>C26+$B$18</f>
        <v/>
      </c>
      <c r="F26" s="21">
        <f>D26+$B$16+$B$17</f>
        <v/>
      </c>
      <c r="G26" s="16">
        <f>E26/(E26+F26)</f>
        <v/>
      </c>
      <c r="H26" s="16">
        <f>F26/(E26+F26)</f>
        <v/>
      </c>
      <c r="I26" s="16">
        <f>(C26*$B$12+$B$18*$B$13)/(C26*$B$12+$B$18*$B$13+D26*$B$12+($B$16+$B$17)*$B$13)</f>
        <v/>
      </c>
      <c r="J26" s="16">
        <f>1-I26</f>
        <v/>
      </c>
      <c r="K26" s="16">
        <f>I26*(1-$B$14)</f>
        <v/>
      </c>
      <c r="L26" s="16">
        <f>J26*(1-$B$14)</f>
        <v/>
      </c>
      <c r="M26" s="16">
        <f>$B$14</f>
        <v/>
      </c>
    </row>
    <row r="27">
      <c r="A27" s="25" t="n">
        <v>1000000</v>
      </c>
      <c r="B27" s="25" t="n">
        <v>200000</v>
      </c>
      <c r="C27" s="21">
        <f>A27/'Допущения'!$D$7</f>
        <v/>
      </c>
      <c r="D27" s="21">
        <f>B27/'Допущения'!$D$7</f>
        <v/>
      </c>
      <c r="E27" s="21">
        <f>C27+$B$18</f>
        <v/>
      </c>
      <c r="F27" s="21">
        <f>D27+$B$16+$B$17</f>
        <v/>
      </c>
      <c r="G27" s="16">
        <f>E27/(E27+F27)</f>
        <v/>
      </c>
      <c r="H27" s="16">
        <f>F27/(E27+F27)</f>
        <v/>
      </c>
      <c r="I27" s="16">
        <f>(C27*$B$12+$B$18*$B$13)/(C27*$B$12+$B$18*$B$13+D27*$B$12+($B$16+$B$17)*$B$13)</f>
        <v/>
      </c>
      <c r="J27" s="16">
        <f>1-I27</f>
        <v/>
      </c>
      <c r="K27" s="16">
        <f>I27*(1-$B$14)</f>
        <v/>
      </c>
      <c r="L27" s="16">
        <f>J27*(1-$B$14)</f>
        <v/>
      </c>
      <c r="M27" s="16">
        <f>$B$14</f>
        <v/>
      </c>
    </row>
    <row r="28">
      <c r="A28" s="25" t="n">
        <v>1000000</v>
      </c>
      <c r="B28" s="25" t="n">
        <v>350000</v>
      </c>
      <c r="C28" s="21">
        <f>A28/'Допущения'!$D$7</f>
        <v/>
      </c>
      <c r="D28" s="21">
        <f>B28/'Допущения'!$D$7</f>
        <v/>
      </c>
      <c r="E28" s="21">
        <f>C28+$B$18</f>
        <v/>
      </c>
      <c r="F28" s="21">
        <f>D28+$B$16+$B$17</f>
        <v/>
      </c>
      <c r="G28" s="16">
        <f>E28/(E28+F28)</f>
        <v/>
      </c>
      <c r="H28" s="16">
        <f>F28/(E28+F28)</f>
        <v/>
      </c>
      <c r="I28" s="16">
        <f>(C28*$B$12+$B$18*$B$13)/(C28*$B$12+$B$18*$B$13+D28*$B$12+($B$16+$B$17)*$B$13)</f>
        <v/>
      </c>
      <c r="J28" s="16">
        <f>1-I28</f>
        <v/>
      </c>
      <c r="K28" s="16">
        <f>I28*(1-$B$14)</f>
        <v/>
      </c>
      <c r="L28" s="16">
        <f>J28*(1-$B$14)</f>
        <v/>
      </c>
      <c r="M28" s="16">
        <f>$B$14</f>
        <v/>
      </c>
    </row>
    <row r="29">
      <c r="A29" s="25" t="n">
        <v>1000000</v>
      </c>
      <c r="B29" s="25" t="n">
        <v>500000</v>
      </c>
      <c r="C29" s="21">
        <f>A29/'Допущения'!$D$7</f>
        <v/>
      </c>
      <c r="D29" s="21">
        <f>B29/'Допущения'!$D$7</f>
        <v/>
      </c>
      <c r="E29" s="21">
        <f>C29+$B$18</f>
        <v/>
      </c>
      <c r="F29" s="21">
        <f>D29+$B$16+$B$17</f>
        <v/>
      </c>
      <c r="G29" s="16">
        <f>E29/(E29+F29)</f>
        <v/>
      </c>
      <c r="H29" s="16">
        <f>F29/(E29+F29)</f>
        <v/>
      </c>
      <c r="I29" s="16">
        <f>(C29*$B$12+$B$18*$B$13)/(C29*$B$12+$B$18*$B$13+D29*$B$12+($B$16+$B$17)*$B$13)</f>
        <v/>
      </c>
      <c r="J29" s="16">
        <f>1-I29</f>
        <v/>
      </c>
      <c r="K29" s="16">
        <f>I29*(1-$B$14)</f>
        <v/>
      </c>
      <c r="L29" s="16">
        <f>J29*(1-$B$14)</f>
        <v/>
      </c>
      <c r="M29" s="16">
        <f>$B$14</f>
        <v/>
      </c>
    </row>
    <row r="30"/>
    <row r="31">
      <c r="A31" s="35" t="inlineStr">
        <is>
          <t>Проверка: сумма долей в каждой строке = 100%</t>
        </is>
      </c>
      <c r="G31" s="35">
        <f>IF(SUMPRODUCT(ABS(K21:K29+L21:L29+M21:M29-1))&lt;0.0001,"OK","ОШИБКА")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4" customWidth="1" min="3" max="3"/>
    <col width="6" customWidth="1" min="4" max="4"/>
    <col width="8" customWidth="1" min="5" max="5"/>
    <col width="6" customWidth="1" min="6" max="6"/>
    <col width="10" customWidth="1" min="7" max="7"/>
    <col width="70" customWidth="1" min="8" max="8"/>
    <col width="12" customWidth="1" min="9" max="9"/>
    <col width="11" customWidth="1" min="10" max="10"/>
  </cols>
  <sheetData>
    <row r="1">
      <c r="A1" s="1" t="inlineStr">
        <is>
          <t>Реестр рисков: вероятность × влияние (1–5)</t>
        </is>
      </c>
    </row>
    <row r="2"/>
    <row r="3">
      <c r="A3" s="3" t="inlineStr">
        <is>
          <t>№</t>
        </is>
      </c>
      <c r="B3" s="3" t="inlineStr">
        <is>
          <t>Риск</t>
        </is>
      </c>
      <c r="C3" s="3" t="inlineStr">
        <is>
          <t>Категория</t>
        </is>
      </c>
      <c r="D3" s="3" t="inlineStr">
        <is>
          <t>Вер.</t>
        </is>
      </c>
      <c r="E3" s="3" t="inlineStr">
        <is>
          <t>Влияние</t>
        </is>
      </c>
      <c r="F3" s="3" t="inlineStr">
        <is>
          <t>Балл</t>
        </is>
      </c>
      <c r="G3" s="3" t="inlineStr">
        <is>
          <t>Уровень</t>
        </is>
      </c>
      <c r="H3" s="3" t="inlineStr">
        <is>
          <t>Меры</t>
        </is>
      </c>
      <c r="I3" s="3" t="inlineStr">
        <is>
          <t>Стоимость мер, $</t>
        </is>
      </c>
      <c r="J3" s="3" t="inlineStr">
        <is>
          <t>Владелец</t>
        </is>
      </c>
    </row>
    <row r="4">
      <c r="A4" s="58" t="n">
        <v>1</v>
      </c>
      <c r="B4" s="58" t="inlineStr">
        <is>
          <t>Иск о вреде несовершеннолетнему (по образцу Character.AI): привязанность, поддакивание самоповреждению</t>
        </is>
      </c>
      <c r="C4" s="58" t="inlineStr">
        <is>
          <t>Юридический</t>
        </is>
      </c>
      <c r="D4" s="59" t="n">
        <v>2</v>
      </c>
      <c r="E4" s="59" t="n">
        <v>5</v>
      </c>
      <c r="F4" s="58">
        <f>D4*E4</f>
        <v/>
      </c>
      <c r="G4" s="58">
        <f>IF(F4&gt;=15,"высокий",IF(F4&gt;=8,"средний","низкий"))</f>
        <v/>
      </c>
      <c r="H4" s="58" t="inlineStr">
        <is>
          <t>13+, нет романтики и «компаньона» у &lt;18; внешний классификатор до и после генерации; детерминированный перехват кризиса → контакты помощи (988 и др.); «это ИИ» в UI; лимит длины сессии; логи безопасности</t>
        </is>
      </c>
      <c r="I4" s="60" t="n">
        <v>1500</v>
      </c>
      <c r="J4" s="58" t="inlineStr">
        <is>
          <t>Я + юрист</t>
        </is>
      </c>
    </row>
    <row r="5">
      <c r="A5" s="58" t="n">
        <v>2</v>
      </c>
      <c r="B5" s="58" t="inlineStr">
        <is>
          <t>Нарушение COPPA (пользователи до 13 лет при ЦА 12–40)</t>
        </is>
      </c>
      <c r="C5" s="58" t="inlineStr">
        <is>
          <t>Юридический</t>
        </is>
      </c>
      <c r="D5" s="59" t="n">
        <v>3</v>
      </c>
      <c r="E5" s="59" t="n">
        <v>5</v>
      </c>
      <c r="F5" s="58">
        <f>D5*E5</f>
        <v/>
      </c>
      <c r="G5" s="58">
        <f>IF(F5&gt;=15,"высокий",IF(F5&gt;=8,"средний","низкий"))</f>
        <v/>
      </c>
      <c r="H5" s="58" t="inlineStr">
        <is>
          <t>Возраст входа 13+ (в ЕС 16+ до согласия родителей); Declared Age Range (Apple) и Play Age Signals (Google); нет сбора данных детей</t>
        </is>
      </c>
      <c r="I5" s="60" t="n">
        <v>0</v>
      </c>
      <c r="J5" s="58" t="inlineStr">
        <is>
          <t>Я</t>
        </is>
      </c>
    </row>
    <row r="6">
      <c r="A6" s="58" t="n">
        <v>3</v>
      </c>
      <c r="B6" s="58" t="inlineStr">
        <is>
          <t>Требования SB 243 (Калифорния), EU AI Act ст. 50, законы штатов о магазинах (Техас с 06.2026)</t>
        </is>
      </c>
      <c r="C6" s="58" t="inlineStr">
        <is>
          <t>Регуляторный</t>
        </is>
      </c>
      <c r="D6" s="59" t="n">
        <v>4</v>
      </c>
      <c r="E6" s="59" t="n">
        <v>3</v>
      </c>
      <c r="F6" s="58">
        <f>D6*E6</f>
        <v/>
      </c>
      <c r="G6" s="58">
        <f>IF(F6&gt;=15,"высокий",IF(F6&gt;=8,"средний","низкий"))</f>
        <v/>
      </c>
      <c r="H6" s="58" t="inlineStr">
        <is>
          <t>Раскрытие «вы говорите с ИИ», протоколы на случай суицидальных высказываний, напоминания о перерыве для несовершеннолетних, возрастной рейтинг по 4 категориям</t>
        </is>
      </c>
      <c r="I6" s="60" t="n">
        <v>300</v>
      </c>
      <c r="J6" s="58" t="inlineStr">
        <is>
          <t>Партнёр</t>
        </is>
      </c>
    </row>
    <row r="7">
      <c r="A7" s="58" t="n">
        <v>4</v>
      </c>
      <c r="B7" s="58" t="inlineStr">
        <is>
          <t>Биометрия при проверке возраста (BIPA, GDPR ст. 9) — идея «верификация по лицу»</t>
        </is>
      </c>
      <c r="C7" s="58" t="inlineStr">
        <is>
          <t>Юридический</t>
        </is>
      </c>
      <c r="D7" s="59" t="n">
        <v>3</v>
      </c>
      <c r="E7" s="59" t="n">
        <v>4</v>
      </c>
      <c r="F7" s="58">
        <f>D7*E7</f>
        <v/>
      </c>
      <c r="G7" s="58">
        <f>IF(F7&gt;=15,"высокий",IF(F7&gt;=8,"средний","низкий"))</f>
        <v/>
      </c>
      <c r="H7" s="58" t="inlineStr">
        <is>
          <t>Только вендор, не хранящий изображение (оценка возраста), согласие; сначала бесплатные API магазинов; снятие детской метки — карта на имя пользователя</t>
        </is>
      </c>
      <c r="I7" s="60" t="n">
        <v>0</v>
      </c>
      <c r="J7" s="58" t="inlineStr">
        <is>
          <t>Я</t>
        </is>
      </c>
    </row>
    <row r="8">
      <c r="A8" s="58" t="n">
        <v>5</v>
      </c>
      <c r="B8" s="58" t="inlineStr">
        <is>
          <t>Отказ или удаление из App Store / Google Play (ИИ-чат, UGC, возраст)</t>
        </is>
      </c>
      <c r="C8" s="58" t="inlineStr">
        <is>
          <t>Платформа</t>
        </is>
      </c>
      <c r="D8" s="59" t="n">
        <v>3</v>
      </c>
      <c r="E8" s="59" t="n">
        <v>4</v>
      </c>
      <c r="F8" s="58">
        <f>D8*E8</f>
        <v/>
      </c>
      <c r="G8" s="58">
        <f>IF(F8&gt;=15,"высокий",IF(F8&gt;=8,"средний","низкий"))</f>
        <v/>
      </c>
      <c r="H8" s="58" t="inlineStr">
        <is>
          <t>Модерация, жалобы, блокировка, рейтинг 13+/17+; веб-версия как запасной канал</t>
        </is>
      </c>
      <c r="I8" s="60" t="n">
        <v>0</v>
      </c>
      <c r="J8" s="58" t="inlineStr">
        <is>
          <t>Я</t>
        </is>
      </c>
    </row>
    <row r="9">
      <c r="A9" s="58" t="n">
        <v>6</v>
      </c>
      <c r="B9" s="58" t="inlineStr">
        <is>
          <t>Нет доступа к банку и платёжным провайдерам (граждане РФ, санкционный комплаенс)</t>
        </is>
      </c>
      <c r="C9" s="58" t="inlineStr">
        <is>
          <t>Финансовый</t>
        </is>
      </c>
      <c r="D9" s="59" t="n">
        <v>3</v>
      </c>
      <c r="E9" s="59" t="n">
        <v>5</v>
      </c>
      <c r="F9" s="58">
        <f>D9*E9</f>
        <v/>
      </c>
      <c r="G9" s="58">
        <f>IF(F9&gt;=15,"высокий",IF(F9&gt;=8,"средний","низкий"))</f>
        <v/>
      </c>
      <c r="H9" s="58" t="inlineStr">
        <is>
          <t>Счёт ООО в 2 банках (TBC, BoG); выплаты магазинов на грузинский счёт; Paddle для веба; документы о налоговом резидентстве</t>
        </is>
      </c>
      <c r="I9" s="60" t="n">
        <v>0</v>
      </c>
      <c r="J9" s="58" t="inlineStr">
        <is>
          <t>Партнёр</t>
        </is>
      </c>
    </row>
    <row r="10">
      <c r="A10" s="58" t="n">
        <v>7</v>
      </c>
      <c r="B10" s="58" t="inlineStr">
        <is>
          <t>Нет разрешения на работу (новые правила с 01.03.2026) → штрафы, срыв ООО</t>
        </is>
      </c>
      <c r="C10" s="58" t="inlineStr">
        <is>
          <t>Юридический</t>
        </is>
      </c>
      <c r="D10" s="59" t="n">
        <v>3</v>
      </c>
      <c r="E10" s="59" t="n">
        <v>4</v>
      </c>
      <c r="F10" s="58">
        <f>D10*E10</f>
        <v/>
      </c>
      <c r="G10" s="58">
        <f>IF(F10&gt;=15,"высокий",IF(F10&gt;=8,"средний","низкий"))</f>
        <v/>
      </c>
      <c r="H10" s="58" t="inlineStr">
        <is>
          <t>Оформить Special Labour Permit для директора и ИП до начала выручки; рассмотреть ВНЖ</t>
        </is>
      </c>
      <c r="I10" s="60" t="n">
        <v>600</v>
      </c>
      <c r="J10" s="58" t="inlineStr">
        <is>
          <t>Партнёр</t>
        </is>
      </c>
    </row>
    <row r="11">
      <c r="A11" s="58" t="n">
        <v>8</v>
      </c>
      <c r="B11" s="58" t="inlineStr">
        <is>
          <t>Рост цен моделей или недоступность OpenRouter</t>
        </is>
      </c>
      <c r="C11" s="58" t="inlineStr">
        <is>
          <t>Технологический</t>
        </is>
      </c>
      <c r="D11" s="59" t="n">
        <v>2</v>
      </c>
      <c r="E11" s="59" t="n">
        <v>4</v>
      </c>
      <c r="F11" s="58">
        <f>D11*E11</f>
        <v/>
      </c>
      <c r="G11" s="58">
        <f>IF(F11&gt;=15,"высокий",IF(F11&gt;=8,"средний","низкий"))</f>
        <v/>
      </c>
      <c r="H11" s="58" t="inlineStr">
        <is>
          <t>Модель выбирает облако по purpose (ADR 10); запасные провайдеры (Bedrock/Vertex напрямую); кэш; лимиты</t>
        </is>
      </c>
      <c r="I11" s="60" t="n">
        <v>0</v>
      </c>
      <c r="J11" s="58" t="inlineStr">
        <is>
          <t>Я</t>
        </is>
      </c>
    </row>
    <row r="12">
      <c r="A12" s="58" t="n">
        <v>9</v>
      </c>
      <c r="B12" s="58" t="inlineStr">
        <is>
          <t>«Киты»: пользователи выбирают 100% лимита Legend → отрицательная маржа</t>
        </is>
      </c>
      <c r="C12" s="58" t="inlineStr">
        <is>
          <t>Финансовый</t>
        </is>
      </c>
      <c r="D12" s="59" t="n">
        <v>3</v>
      </c>
      <c r="E12" s="59" t="n">
        <v>3</v>
      </c>
      <c r="F12" s="58">
        <f>D12*E12</f>
        <v/>
      </c>
      <c r="G12" s="58">
        <f>IF(F12&gt;=15,"высокий",IF(F12&gt;=8,"средний","низкий"))</f>
        <v/>
      </c>
      <c r="H12" s="58" t="inlineStr">
        <is>
          <t>Недельные окна ¼, fair use, замедление после 80%, Legend — только после проверки спроса</t>
        </is>
      </c>
      <c r="I12" s="60" t="n">
        <v>0</v>
      </c>
      <c r="J12" s="58" t="inlineStr">
        <is>
          <t>Я</t>
        </is>
      </c>
    </row>
    <row r="13">
      <c r="A13" s="58" t="n">
        <v>10</v>
      </c>
      <c r="B13" s="58" t="inlineStr">
        <is>
          <t>Низкая конверсия в платящих / высокий отток</t>
        </is>
      </c>
      <c r="C13" s="58" t="inlineStr">
        <is>
          <t>Рыночный</t>
        </is>
      </c>
      <c r="D13" s="59" t="n">
        <v>3</v>
      </c>
      <c r="E13" s="59" t="n">
        <v>5</v>
      </c>
      <c r="F13" s="58">
        <f>D13*E13</f>
        <v/>
      </c>
      <c r="G13" s="58">
        <f>IF(F13&gt;=15,"высокий",IF(F13&gt;=8,"средний","низкий"))</f>
        <v/>
      </c>
      <c r="H13" s="58" t="inlineStr">
        <is>
          <t>Прототип и донаты — проверка спроса до затрат; A/B тест пейволла; годовые планы; кооператив</t>
        </is>
      </c>
      <c r="I13" s="60" t="n">
        <v>0</v>
      </c>
      <c r="J13" s="58" t="inlineStr">
        <is>
          <t>Оба</t>
        </is>
      </c>
    </row>
    <row r="14">
      <c r="A14" s="58" t="n">
        <v>11</v>
      </c>
      <c r="B14" s="58" t="inlineStr">
        <is>
          <t>Дорогое привлечение (CPI выше $4,5)</t>
        </is>
      </c>
      <c r="C14" s="58" t="inlineStr">
        <is>
          <t>Рыночный</t>
        </is>
      </c>
      <c r="D14" s="59" t="n">
        <v>3</v>
      </c>
      <c r="E14" s="59" t="n">
        <v>4</v>
      </c>
      <c r="F14" s="58">
        <f>D14*E14</f>
        <v/>
      </c>
      <c r="G14" s="58">
        <f>IF(F14&gt;=15,"высокий",IF(F14&gt;=8,"средний","низкий"))</f>
        <v/>
      </c>
      <c r="H14" s="58" t="inlineStr">
        <is>
          <t>Ставка на органику (TikTok-ролики сцен, Reddit, Discord), ASO, рефералы</t>
        </is>
      </c>
      <c r="I14" s="60" t="n">
        <v>0</v>
      </c>
      <c r="J14" s="58" t="inlineStr">
        <is>
          <t>Партнёр</t>
        </is>
      </c>
    </row>
    <row r="15">
      <c r="A15" s="58" t="n">
        <v>12</v>
      </c>
      <c r="B15" s="58" t="inlineStr">
        <is>
          <t>Ключевая роль одного разработчика (bus factor)</t>
        </is>
      </c>
      <c r="C15" s="58" t="inlineStr">
        <is>
          <t>Операционный</t>
        </is>
      </c>
      <c r="D15" s="59" t="n">
        <v>3</v>
      </c>
      <c r="E15" s="59" t="n">
        <v>5</v>
      </c>
      <c r="F15" s="58">
        <f>D15*E15</f>
        <v/>
      </c>
      <c r="G15" s="58">
        <f>IF(F15&gt;=15,"высокий",IF(F15&gt;=8,"средний","низкий"))</f>
        <v/>
      </c>
      <c r="H15" s="58" t="inlineStr">
        <is>
          <t>Документация (roadmap, ADR), CI/CD, пул опционов на второго разработчика</t>
        </is>
      </c>
      <c r="I15" s="60" t="n">
        <v>0</v>
      </c>
      <c r="J15" s="58" t="inlineStr">
        <is>
          <t>Я</t>
        </is>
      </c>
    </row>
    <row r="16">
      <c r="A16" s="58" t="n">
        <v>13</v>
      </c>
      <c r="B16" s="58" t="inlineStr">
        <is>
          <t>Конфликт основателей, неравный вклад</t>
        </is>
      </c>
      <c r="C16" s="58" t="inlineStr">
        <is>
          <t>Корпоративный</t>
        </is>
      </c>
      <c r="D16" s="59" t="n">
        <v>2</v>
      </c>
      <c r="E16" s="59" t="n">
        <v>5</v>
      </c>
      <c r="F16" s="58">
        <f>D16*E16</f>
        <v/>
      </c>
      <c r="G16" s="58">
        <f>IF(F16&gt;=15,"высокий",IF(F16&gt;=8,"средний","низкий"))</f>
        <v/>
      </c>
      <c r="H16" s="58" t="inlineStr">
        <is>
          <t>Соглашение участников: вестинг 4 года / клифф 1 год, good/bad leaver, deadlock, транши</t>
        </is>
      </c>
      <c r="I16" s="60" t="n">
        <v>0</v>
      </c>
      <c r="J16" s="58" t="inlineStr">
        <is>
          <t>Оба</t>
        </is>
      </c>
    </row>
    <row r="17">
      <c r="A17" s="58" t="n">
        <v>14</v>
      </c>
      <c r="B17" s="58" t="inlineStr">
        <is>
          <t>Права вуза на дипломную работу (IP прототипа)</t>
        </is>
      </c>
      <c r="C17" s="58" t="inlineStr">
        <is>
          <t>Юридический</t>
        </is>
      </c>
      <c r="D17" s="59" t="n">
        <v>2</v>
      </c>
      <c r="E17" s="59" t="n">
        <v>3</v>
      </c>
      <c r="F17" s="58">
        <f>D17*E17</f>
        <v/>
      </c>
      <c r="G17" s="58">
        <f>IF(F17&gt;=15,"высокий",IF(F17&gt;=8,"средний","низкий"))</f>
        <v/>
      </c>
      <c r="H17" s="58" t="inlineStr">
        <is>
          <t>Проверить положение о ВКР; переписанный код и новые решения — собственность ООО; договор отчуждения IP в ООО</t>
        </is>
      </c>
      <c r="I17" s="60" t="n">
        <v>0</v>
      </c>
      <c r="J17" s="58" t="inlineStr">
        <is>
          <t>Я</t>
        </is>
      </c>
    </row>
    <row r="18">
      <c r="A18" s="58" t="n">
        <v>15</v>
      </c>
      <c r="B18" s="58" t="inlineStr">
        <is>
          <t>Авторские права на контент историй (лор, фанфики пользователей)</t>
        </is>
      </c>
      <c r="C18" s="58" t="inlineStr">
        <is>
          <t>Юридический</t>
        </is>
      </c>
      <c r="D18" s="59" t="n">
        <v>2</v>
      </c>
      <c r="E18" s="59" t="n">
        <v>3</v>
      </c>
      <c r="F18" s="58">
        <f>D18*E18</f>
        <v/>
      </c>
      <c r="G18" s="58">
        <f>IF(F18&gt;=15,"высокий",IF(F18&gt;=8,"средний","низкий"))</f>
        <v/>
      </c>
      <c r="H18" s="58" t="inlineStr">
        <is>
          <t>Только оригинальные или лицензированные истории; правила UGC в ToS; DMCA-агент</t>
        </is>
      </c>
      <c r="I18" s="60" t="n">
        <v>0</v>
      </c>
      <c r="J18" s="58" t="inlineStr">
        <is>
          <t>Партнёр</t>
        </is>
      </c>
    </row>
    <row r="19">
      <c r="A19" s="58" t="n">
        <v>16</v>
      </c>
      <c r="B19" s="58" t="inlineStr">
        <is>
          <t>Конкуренция (AI Dungeon, Character.AI, Friends &amp; Fables, NovelAI)</t>
        </is>
      </c>
      <c r="C19" s="58" t="inlineStr">
        <is>
          <t>Рыночный</t>
        </is>
      </c>
      <c r="D19" s="59" t="n">
        <v>4</v>
      </c>
      <c r="E19" s="59" t="n">
        <v>3</v>
      </c>
      <c r="F19" s="58">
        <f>D19*E19</f>
        <v/>
      </c>
      <c r="G19" s="58">
        <f>IF(F19&gt;=15,"высокий",IF(F19&gt;=8,"средний","низкий"))</f>
        <v/>
      </c>
      <c r="H19" s="58" t="inlineStr">
        <is>
          <t>Ниша: книга с миром-графом и честными правилами мира, мобильность, кооператив</t>
        </is>
      </c>
      <c r="I19" s="60" t="n">
        <v>0</v>
      </c>
      <c r="J19" s="58" t="inlineStr">
        <is>
          <t>Оба</t>
        </is>
      </c>
    </row>
    <row r="20">
      <c r="A20" s="58" t="n">
        <v>17</v>
      </c>
      <c r="B20" s="58" t="inlineStr">
        <is>
          <t>Курс рубля к доллару при вложениях</t>
        </is>
      </c>
      <c r="C20" s="58" t="inlineStr">
        <is>
          <t>Финансовый</t>
        </is>
      </c>
      <c r="D20" s="59" t="n">
        <v>3</v>
      </c>
      <c r="E20" s="59" t="n">
        <v>2</v>
      </c>
      <c r="F20" s="58">
        <f>D20*E20</f>
        <v/>
      </c>
      <c r="G20" s="58">
        <f>IF(F20&gt;=15,"высокий",IF(F20&gt;=8,"средний","низкий"))</f>
        <v/>
      </c>
      <c r="H20" s="58" t="inlineStr">
        <is>
          <t>Конвертировать транши сразу; держать кассу в USD</t>
        </is>
      </c>
      <c r="I20" s="60" t="n">
        <v>0</v>
      </c>
      <c r="J20" s="58" t="inlineStr">
        <is>
          <t>Партнёр</t>
        </is>
      </c>
    </row>
    <row r="21">
      <c r="A21" s="58" t="n">
        <v>18</v>
      </c>
      <c r="B21" s="58" t="inlineStr">
        <is>
          <t>Утечка данных пользователей, взлом</t>
        </is>
      </c>
      <c r="C21" s="58" t="inlineStr">
        <is>
          <t>Технологический</t>
        </is>
      </c>
      <c r="D21" s="59" t="n">
        <v>2</v>
      </c>
      <c r="E21" s="59" t="n">
        <v>4</v>
      </c>
      <c r="F21" s="58">
        <f>D21*E21</f>
        <v/>
      </c>
      <c r="G21" s="58">
        <f>IF(F21&gt;=15,"высокий",IF(F21&gt;=8,"средний","низкий"))</f>
        <v/>
      </c>
      <c r="H21" s="58" t="inlineStr">
        <is>
          <t>Секреты только в .env, минимум данных, бэкапы, обновления</t>
        </is>
      </c>
      <c r="I21" s="60" t="n">
        <v>0</v>
      </c>
      <c r="J21" s="58" t="inlineStr">
        <is>
          <t>Я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110" customWidth="1" min="3" max="3"/>
  </cols>
  <sheetData>
    <row r="1">
      <c r="A1" s="1" t="inlineStr">
        <is>
          <t>Источники (проверены 17.10.2026)</t>
        </is>
      </c>
    </row>
    <row r="2"/>
    <row r="3">
      <c r="A3" s="3" t="inlineStr">
        <is>
          <t>Тема</t>
        </is>
      </c>
      <c r="B3" s="3" t="inlineStr">
        <is>
          <t>Источник</t>
        </is>
      </c>
      <c r="C3" s="3" t="inlineStr">
        <is>
          <t>Ссылка</t>
        </is>
      </c>
    </row>
    <row r="4">
      <c r="A4" s="36" t="inlineStr">
        <is>
          <t>Цены моделей</t>
        </is>
      </c>
      <c r="B4" s="36" t="inlineStr">
        <is>
          <t>OpenRouter API models</t>
        </is>
      </c>
      <c r="C4" s="36" t="inlineStr">
        <is>
          <t>https://openrouter.ai/api/v1/models</t>
        </is>
      </c>
    </row>
    <row r="5">
      <c r="A5" s="36" t="inlineStr">
        <is>
          <t>Себестоимость хода</t>
        </is>
      </c>
      <c r="B5" s="36" t="inlineStr">
        <is>
          <t>Тесты 6.2i, docs/notes/spikes.md</t>
        </is>
      </c>
      <c r="C5" s="36" t="inlineStr">
        <is>
          <t>репозиторий QuipQuill</t>
        </is>
      </c>
    </row>
    <row r="6">
      <c r="A6" s="36" t="inlineStr">
        <is>
          <t>Apple Small Business Program</t>
        </is>
      </c>
      <c r="B6" s="36" t="inlineStr">
        <is>
          <t>RevenueCat / Pricepush</t>
        </is>
      </c>
      <c r="C6" s="36" t="inlineStr">
        <is>
          <t>https://pricepush.app/glossary/small-business-program</t>
        </is>
      </c>
    </row>
    <row r="7">
      <c r="A7" s="36" t="inlineStr">
        <is>
          <t>Комиссии магазинов</t>
        </is>
      </c>
      <c r="B7" s="36" t="inlineStr">
        <is>
          <t>SplitMetrics</t>
        </is>
      </c>
      <c r="C7" s="36" t="inlineStr">
        <is>
          <t>https://splitmetrics.com/blog/google-play-apple-app-store-fees/</t>
        </is>
      </c>
    </row>
    <row r="8">
      <c r="A8" s="36" t="inlineStr">
        <is>
          <t>Внешние ссылки на оплату в США</t>
        </is>
      </c>
      <c r="B8" s="36" t="inlineStr">
        <is>
          <t>TechCrunch, 06.04.2026</t>
        </is>
      </c>
      <c r="C8" s="36" t="inlineStr">
        <is>
          <t>https://techcrunch.com/2026/04/06/apple-epic-games-lawsuit-supreme-court-appeal-app-store-commission/</t>
        </is>
      </c>
    </row>
    <row r="9">
      <c r="A9" s="36" t="inlineStr">
        <is>
          <t>Samsung Galaxy Store 20%/15%</t>
        </is>
      </c>
      <c r="B9" s="36" t="inlineStr">
        <is>
          <t>Mezha</t>
        </is>
      </c>
      <c r="C9" s="36" t="inlineStr">
        <is>
          <t>https://mezha.ua/en/news/samsung-zaprovadzhuye-novu-model-rozpodilu-dohodiv-u-galaxy-store-300474/</t>
        </is>
      </c>
    </row>
    <row r="10">
      <c r="A10" s="36" t="inlineStr">
        <is>
          <t>Microsoft Store бесплатно для компаний</t>
        </is>
      </c>
      <c r="B10" s="36" t="inlineStr">
        <is>
          <t>Windows Blog, 07.05.2026</t>
        </is>
      </c>
      <c r="C10" s="36" t="inlineStr">
        <is>
          <t>https://blogs.windows.com/windowsdeveloper/2026/05/07/publish-to-microsoft-store-as-a-company-now-with-free-registration-and-faster-onboarding/</t>
        </is>
      </c>
    </row>
    <row r="11">
      <c r="A11" s="36" t="inlineStr">
        <is>
          <t>Paddle 5% + 50¢, страны</t>
        </is>
      </c>
      <c r="B11" s="36" t="inlineStr">
        <is>
          <t>Paddle</t>
        </is>
      </c>
      <c r="C11" s="36" t="inlineStr">
        <is>
          <t>https://www.paddle.com/help/start/intro-to-paddle/which-countries-are-supported-by-paddle</t>
        </is>
      </c>
    </row>
    <row r="12">
      <c r="A12" s="36" t="inlineStr">
        <is>
          <t>Санкционные ограничения Paddle</t>
        </is>
      </c>
      <c r="B12" s="36" t="inlineStr">
        <is>
          <t>Paddle</t>
        </is>
      </c>
      <c r="C12" s="36" t="inlineStr">
        <is>
          <t>https://paddle.com/help/legal/sanctions/impact-of-sanctions-on-russia-and-belarus</t>
        </is>
      </c>
    </row>
    <row r="13">
      <c r="A13" s="36" t="inlineStr">
        <is>
          <t>Virtual Zone</t>
        </is>
      </c>
      <c r="B13" s="36" t="inlineStr">
        <is>
          <t>Andersen Georgia</t>
        </is>
      </c>
      <c r="C13" s="36" t="inlineStr">
        <is>
          <t>https://ge.andersen.com/virtual-zone-person-georgia/</t>
        </is>
      </c>
    </row>
    <row r="14">
      <c r="A14" s="36" t="inlineStr">
        <is>
          <t>Заявка на Virtual Zone 1 500 GEL</t>
        </is>
      </c>
      <c r="B14" s="36" t="inlineStr">
        <is>
          <t>ExpatHub</t>
        </is>
      </c>
      <c r="C14" s="36" t="inlineStr">
        <is>
          <t>https://expathub.ge/pricing-services/</t>
        </is>
      </c>
    </row>
    <row r="15">
      <c r="A15" s="36" t="inlineStr">
        <is>
          <t>ИП и статус малого бизнеса 1%</t>
        </is>
      </c>
      <c r="B15" s="36" t="inlineStr">
        <is>
          <t>Andersen Georgia</t>
        </is>
      </c>
      <c r="C15" s="36" t="inlineStr">
        <is>
          <t>https://ge.andersen.com/1-tax-regime/</t>
        </is>
      </c>
    </row>
    <row r="16">
      <c r="A16" s="36" t="inlineStr">
        <is>
          <t>Разрешения на работу с 01.03.2026</t>
        </is>
      </c>
      <c r="B16" s="36" t="inlineStr">
        <is>
          <t>Andersen Georgia</t>
        </is>
      </c>
      <c r="C16" s="36" t="inlineStr">
        <is>
          <t>https://ge.andersen.com/georgia-work-permits/</t>
        </is>
      </c>
    </row>
    <row r="17">
      <c r="A17" s="36" t="inlineStr">
        <is>
          <t>Регистрация компании в Грузии</t>
        </is>
      </c>
      <c r="B17" s="36" t="inlineStr">
        <is>
          <t>Legalese Georgia</t>
        </is>
      </c>
      <c r="C17" s="36" t="inlineStr">
        <is>
          <t>https://legalese.ge/ru/blog/registratsiya-kompanii-v-gruzii/</t>
        </is>
      </c>
    </row>
    <row r="18">
      <c r="A18" s="36" t="inlineStr">
        <is>
          <t>Счета для граждан РФ</t>
        </is>
      </c>
      <c r="B18" s="36" t="inlineStr">
        <is>
          <t>Ybcase</t>
        </is>
      </c>
      <c r="C18" s="36" t="inlineStr">
        <is>
          <t>https://ybcase.com/company-services/bank-accounts/kak-otkryt-licnyj-scet-v-gruzii-v-2026-godu</t>
        </is>
      </c>
    </row>
    <row r="19">
      <c r="A19" s="36" t="inlineStr">
        <is>
          <t>Бенчмарки подписок 2026</t>
        </is>
      </c>
      <c r="B19" s="36" t="inlineStr">
        <is>
          <t>RevenueCat</t>
        </is>
      </c>
      <c r="C19" s="36" t="inlineStr">
        <is>
          <t>https://www.revenuecat.com/blog/growth/subscription-app-trends-benchmarks-2026</t>
        </is>
      </c>
    </row>
    <row r="20">
      <c r="A20" s="36" t="inlineStr">
        <is>
          <t>CPI 2026</t>
        </is>
      </c>
      <c r="B20" s="36" t="inlineStr">
        <is>
          <t>Digital Applied</t>
        </is>
      </c>
      <c r="C20" s="36" t="inlineStr">
        <is>
          <t>https://www.digitalapplied.com/blog/mobile-app-marketing-statistics-2026-install-data</t>
        </is>
      </c>
    </row>
    <row r="21">
      <c r="A21" s="36" t="inlineStr">
        <is>
          <t>Цены конкурентов</t>
        </is>
      </c>
      <c r="B21" s="36" t="inlineStr">
        <is>
          <t>BladeRPG / Wilds.ai</t>
        </is>
      </c>
      <c r="C21" s="36" t="inlineStr">
        <is>
          <t>https://www.bladerpg.com/en/ai-dungeon-alternatives/</t>
        </is>
      </c>
    </row>
    <row r="22">
      <c r="A22" s="36" t="inlineStr">
        <is>
          <t>Рынок ИИ-компаньонов</t>
        </is>
      </c>
      <c r="B22" s="36" t="inlineStr">
        <is>
          <t>Research and Markets</t>
        </is>
      </c>
      <c r="C22" s="36" t="inlineStr">
        <is>
          <t>https://www.researchandmarkets.com/reports/6225994/ai-companion-apps-market-report</t>
        </is>
      </c>
    </row>
    <row r="23">
      <c r="A23" s="36" t="inlineStr">
        <is>
          <t>Иски к Character.AI</t>
        </is>
      </c>
      <c r="B23" s="36" t="inlineStr">
        <is>
          <t>CNN, 07.01.2026</t>
        </is>
      </c>
      <c r="C23" s="36" t="inlineStr">
        <is>
          <t>https://edition.cnn.com/2026/01/07/business/character-ai-google-settle-teen-suicide-lawsuit</t>
        </is>
      </c>
    </row>
    <row r="24">
      <c r="A24" s="36" t="inlineStr">
        <is>
          <t>California SB 243</t>
        </is>
      </c>
      <c r="B24" s="36" t="inlineStr">
        <is>
          <t>Skadden</t>
        </is>
      </c>
      <c r="C24" s="36" t="inlineStr">
        <is>
          <t>https://www.skadden.com/insights/publications/2025/10/new-california-companion-chatbot-law</t>
        </is>
      </c>
    </row>
    <row r="25">
      <c r="A25" s="36" t="inlineStr">
        <is>
          <t>EU AI Act ст. 50</t>
        </is>
      </c>
      <c r="B25" s="36" t="inlineStr">
        <is>
          <t>McCann FitzGerald</t>
        </is>
      </c>
      <c r="C25" s="36" t="inlineStr">
        <is>
          <t>https://www.mccannfitzgerald.com/knowledge/technology-and-innovation/one-month-to-go-eu-ai-act-transparency-compliance</t>
        </is>
      </c>
    </row>
    <row r="26">
      <c r="A26" s="36" t="inlineStr">
        <is>
          <t>COPPA (с 22.04.2026)</t>
        </is>
      </c>
      <c r="B26" s="36" t="inlineStr">
        <is>
          <t>BBB National Programs</t>
        </is>
      </c>
      <c r="C26" s="36" t="inlineStr">
        <is>
          <t>https://bbbprograms.org/media/insights/blog/coppa-amended</t>
        </is>
      </c>
    </row>
    <row r="27">
      <c r="A27" s="36" t="inlineStr">
        <is>
          <t>Техас, App Store Accountability</t>
        </is>
      </c>
      <c r="B27" s="36" t="inlineStr">
        <is>
          <t>Apple Developer</t>
        </is>
      </c>
      <c r="C27" s="36" t="inlineStr">
        <is>
          <t>https://developer.apple.com/news/?id=2ezb6jhj</t>
        </is>
      </c>
    </row>
    <row r="28">
      <c r="A28" s="36" t="inlineStr">
        <is>
          <t>Play Age Signals API</t>
        </is>
      </c>
      <c r="B28" s="36" t="inlineStr">
        <is>
          <t>Android Developers</t>
        </is>
      </c>
      <c r="C28" s="36" t="inlineStr">
        <is>
          <t>https://developer.android.com/google/play/age-signals/use-age-signals-api</t>
        </is>
      </c>
    </row>
    <row r="29">
      <c r="A29" s="36" t="inlineStr">
        <is>
          <t>Цены верификации возраста</t>
        </is>
      </c>
      <c r="B29" s="36" t="inlineStr">
        <is>
          <t>Didit / iTWire</t>
        </is>
      </c>
      <c r="C29" s="36" t="inlineStr">
        <is>
          <t>https://didit.me/blog/didit-vs-yoti/</t>
        </is>
      </c>
    </row>
    <row r="30">
      <c r="A30" s="36" t="inlineStr">
        <is>
          <t>Товарный знак США</t>
        </is>
      </c>
      <c r="B30" s="36" t="inlineStr">
        <is>
          <t>Haynes Boone</t>
        </is>
      </c>
      <c r="C30" s="36" t="inlineStr">
        <is>
          <t>https://www.haynesboone.com/news/alerts/us-trademark-fees-going-up.pdf</t>
        </is>
      </c>
    </row>
    <row r="31">
      <c r="A31" s="36" t="inlineStr">
        <is>
          <t>Товарный знак ЕС</t>
        </is>
      </c>
      <c r="B31" s="36" t="inlineStr">
        <is>
          <t>Dury</t>
        </is>
      </c>
      <c r="C31" s="36" t="inlineStr">
        <is>
          <t>https://www.dury.de/en/european-tradmark-law/1077-eu-trademark-registration-2026-a-complete-guide-for-international-businesses</t>
        </is>
      </c>
    </row>
    <row r="32">
      <c r="A32" s="36" t="inlineStr">
        <is>
          <t>Slicing Pie</t>
        </is>
      </c>
      <c r="B32" s="36" t="inlineStr">
        <is>
          <t>Slicing Pie support</t>
        </is>
      </c>
      <c r="C32" s="36" t="inlineStr">
        <is>
          <t>https://support.slicingpie.com/portal/en/kb/articles/pie-settings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2026-10-17T14:35:11Z</dcterms:created>
  <dcterms:modified xsi:type="dcterms:W3CDTF">2026-10-17T14:35:11Z</dcterms:modified>
</cp:coreProperties>
</file>